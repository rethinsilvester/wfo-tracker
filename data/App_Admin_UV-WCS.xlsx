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41026C79-9923-4E52-A48D-554D0A49A67C}" xr6:coauthVersionLast="47" xr6:coauthVersionMax="47" xr10:uidLastSave="{00000000-0000-0000-0000-000000000000}"/>
  <bookViews>
    <workbookView xWindow="28680" yWindow="-120" windowWidth="29040" windowHeight="15720" firstSheet="17" activeTab="20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  <sheet name="UV-WMS Admin Aug 2026" sheetId="20" r:id="rId20"/>
    <sheet name="UV-WMS Admin Sep 2026" sheetId="21" r:id="rId2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20" l="1"/>
  <c r="B13" i="20"/>
  <c r="B15" i="21"/>
  <c r="B14" i="21"/>
  <c r="B13" i="21"/>
  <c r="C15" i="21"/>
  <c r="C14" i="21"/>
  <c r="C13" i="21"/>
  <c r="C15" i="20"/>
  <c r="B15" i="20"/>
  <c r="C14" i="20"/>
  <c r="C13" i="20"/>
  <c r="C17" i="19"/>
  <c r="B17" i="19"/>
  <c r="C16" i="19"/>
  <c r="B16" i="19"/>
  <c r="C15" i="19"/>
  <c r="B15" i="19"/>
  <c r="C14" i="19"/>
  <c r="B14" i="19"/>
  <c r="C15" i="18"/>
  <c r="B15" i="18"/>
  <c r="C12" i="18"/>
  <c r="B12" i="18"/>
  <c r="C13" i="18"/>
  <c r="B13" i="18"/>
  <c r="C14" i="18"/>
  <c r="B14" i="18"/>
  <c r="C15" i="17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<sst xmlns="http://schemas.openxmlformats.org/spreadsheetml/2006/main" count="3272" uniqueCount="33">
  <si>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</si>
  <si>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</si>
  <si>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</si>
  <si>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</si>
  <si>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</si>
  <si>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</si>
  <si>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</si>
  <si>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</si>
  <si>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</si>
  <si>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</si>
  <si>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</si>
  <si>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</si>
  <si>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</si>
  <si>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</si>
  <si>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</si>
  <si>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</si>
  <si>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</si>
  <si>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</si>
  <si>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</si>
  <si>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</si>
  <si>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</si>
  <si>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</si>
  <si>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</si>
  <si>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</si>
  <si>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</si>
  <si>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</si>
  <si>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</si>
  <si>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</si>
  <si>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</si>
  <si>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</si>
  <si>
    <t>Anuj</t>
  </si>
  <si>
    <t>Pradeep S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</si>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</sst>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6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0" fontId="0" fillId="8" borderId="2" xfId="0" applyFill="1" applyBorder="1"/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5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2"/>
      <c r="B2" s="12"/>
      <c r="C2" s="12"/>
      <c r="D2" s="12"/>
      <c r="E2" s="12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2"/>
      <c r="B2" s="12"/>
      <c r="C2" s="12"/>
      <c r="D2" s="12"/>
      <c r="E2" s="12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2"/>
      <c r="B2" s="12"/>
      <c r="C2" s="12"/>
      <c r="D2" s="12"/>
      <c r="E2" s="12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3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4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4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4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5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54" priority="1" operator="lessThan">
      <formula>12</formula>
    </cfRule>
    <cfRule type="cellIs" dxfId="53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2"/>
      <c r="B2" s="12"/>
      <c r="C2" s="12"/>
      <c r="D2" s="12"/>
      <c r="E2" s="12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52" priority="1" operator="lessThan">
      <formula>12</formula>
    </cfRule>
    <cfRule type="cellIs" dxfId="51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2"/>
      <c r="B2" s="12"/>
      <c r="C2" s="12"/>
      <c r="D2" s="12"/>
      <c r="E2" s="12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50" priority="2" operator="greaterThan">
      <formula>12</formula>
    </cfRule>
    <cfRule type="cellIs" dxfId="49" priority="4" operator="lessThan">
      <formula>12</formula>
    </cfRule>
  </conditionalFormatting>
  <conditionalFormatting sqref="B12:B14">
    <cfRule type="cellIs" dxfId="48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2"/>
      <c r="B2" s="12"/>
      <c r="C2" s="12"/>
      <c r="D2" s="12"/>
      <c r="E2" s="12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7" priority="1" operator="greaterThan">
      <formula>11</formula>
    </cfRule>
    <cfRule type="cellIs" dxfId="46" priority="2" operator="lessThan">
      <formula>12</formula>
    </cfRule>
    <cfRule type="cellIs" dxfId="45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2"/>
      <c r="B2" s="12"/>
      <c r="C2" s="12"/>
      <c r="D2" s="12"/>
      <c r="E2" s="12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4" priority="1" operator="greaterThan">
      <formula>11</formula>
    </cfRule>
    <cfRule type="cellIs" dxfId="43" priority="2" operator="lessThan">
      <formula>12</formula>
    </cfRule>
    <cfRule type="cellIs" dxfId="42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2"/>
      <c r="B2" s="12"/>
      <c r="C2" s="12"/>
      <c r="D2" s="12"/>
      <c r="E2" s="12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2"/>
      <c r="B2" s="12"/>
      <c r="C2" s="12"/>
      <c r="D2" s="12"/>
      <c r="E2" s="12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2"/>
      <c r="B2" s="12"/>
      <c r="C2" s="12"/>
      <c r="D2" s="12"/>
      <c r="E2" s="12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2"/>
      <c r="B2" s="12"/>
      <c r="C2" s="12"/>
      <c r="D2" s="12"/>
      <c r="E2" s="12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2"/>
      <c r="B2" s="12"/>
      <c r="C2" s="12"/>
      <c r="D2" s="12"/>
      <c r="E2" s="12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2"/>
      <c r="B2" s="12"/>
      <c r="C2" s="12"/>
      <c r="D2" s="12"/>
      <c r="E2" s="12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2"/>
      <c r="B2" s="12"/>
      <c r="C2" s="12"/>
      <c r="D2" s="12"/>
      <c r="E2" s="12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2"/>
      <c r="B2" s="12"/>
      <c r="C2" s="12"/>
      <c r="D2" s="12"/>
      <c r="E2" s="12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2"/>
      <c r="B2" s="12"/>
      <c r="C2" s="12"/>
      <c r="D2" s="12"/>
      <c r="E2" s="12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opLeftCell="B1" workbookViewId="0">
      <selection activeCell="F6" sqref="F6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2"/>
      <c r="B2" s="12"/>
      <c r="C2" s="12"/>
      <c r="D2" s="12"/>
      <c r="E2" s="12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5" t="s">
        <v>17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5" t="s">
        <v>17</v>
      </c>
      <c r="AH6" s="4" t="s">
        <v>16</v>
      </c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COUNTIF(F3:AG3,"WFH")</f>
        <v>8</v>
      </c>
    </row>
    <row r="13" spans="1:36" x14ac:dyDescent="0.2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9</v>
      </c>
      <c r="C14" s="2">
        <f>COUNTIF(F5:AG5,"WFH")</f>
        <v>4</v>
      </c>
    </row>
    <row r="15" spans="1:36" x14ac:dyDescent="0.25">
      <c r="A15" s="2" t="s">
        <v>23</v>
      </c>
      <c r="B15" s="2">
        <f>COUNTIF(F6:AI6,"WFO")</f>
        <v>13</v>
      </c>
      <c r="C15" s="2">
        <f>COUNTIF(F6:AG6,"WFH")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5"/>
  <sheetViews>
    <sheetView topLeftCell="E1" workbookViewId="0">
      <selection activeCell="O3" sqref="O3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2"/>
      <c r="B2" s="12"/>
      <c r="C2" s="12"/>
      <c r="D2" s="12"/>
      <c r="E2" s="12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4" t="s">
        <v>16</v>
      </c>
      <c r="H7" s="5" t="s">
        <v>17</v>
      </c>
      <c r="I7" s="6" t="s">
        <v>24</v>
      </c>
      <c r="J7" s="4" t="s">
        <v>16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24</v>
      </c>
      <c r="U7" s="6" t="s">
        <v>24</v>
      </c>
      <c r="V7" s="5" t="s">
        <v>17</v>
      </c>
      <c r="W7" s="4" t="s">
        <v>16</v>
      </c>
      <c r="X7" s="4" t="s">
        <v>16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COUNTIF(F4:AI4,"WFO")</f>
        <v>13</v>
      </c>
      <c r="C12" s="2">
        <f>COUNTIF(F4:AG4,"WFH")</f>
        <v>9</v>
      </c>
    </row>
    <row r="13" spans="1:35" x14ac:dyDescent="0.25">
      <c r="A13" s="2" t="s">
        <v>19</v>
      </c>
      <c r="B13" s="2">
        <f>COUNTIF(F5:AI5,"WFO")</f>
        <v>14</v>
      </c>
      <c r="C13" s="2">
        <f>COUNTIF(F5:AG5,"WFH")</f>
        <v>8</v>
      </c>
    </row>
    <row r="14" spans="1:35" x14ac:dyDescent="0.25">
      <c r="A14" s="2" t="s">
        <v>20</v>
      </c>
      <c r="B14" s="2">
        <f>COUNTIF(F6:AI6,"WFO")</f>
        <v>13</v>
      </c>
      <c r="C14" s="2">
        <f>COUNTIF(F6:AG6,"WFH")</f>
        <v>9</v>
      </c>
    </row>
    <row r="15" spans="1:35" x14ac:dyDescent="0.25">
      <c r="A15" s="2" t="s">
        <v>23</v>
      </c>
      <c r="B15" s="2">
        <f>COUNTIF(F7:AI7,"WFO")</f>
        <v>12</v>
      </c>
      <c r="C15" s="2">
        <f>COUNTIF(F7:AG7,"WFH")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7"/>
  <sheetViews>
    <sheetView topLeftCell="J1" workbookViewId="0">
      <selection activeCell="R7" sqref="R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14</v>
      </c>
      <c r="E1" s="11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25">
      <c r="A2" s="12"/>
      <c r="B2" s="12"/>
      <c r="C2" s="12"/>
      <c r="D2" s="12"/>
      <c r="E2" s="12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6" t="s">
        <v>18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6" t="s">
        <v>24</v>
      </c>
      <c r="G4" s="5" t="s">
        <v>17</v>
      </c>
      <c r="H4" s="5" t="s">
        <v>17</v>
      </c>
      <c r="I4" s="7"/>
      <c r="J4" s="7"/>
      <c r="K4" s="5" t="s">
        <v>17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2"/>
      <c r="G6" s="2"/>
      <c r="H6" s="2"/>
      <c r="I6" s="7"/>
      <c r="J6" s="7"/>
      <c r="K6" s="2"/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5" t="s">
        <v>17</v>
      </c>
      <c r="Z6" s="5" t="s">
        <v>17</v>
      </c>
      <c r="AA6" s="4" t="s">
        <v>16</v>
      </c>
      <c r="AB6" s="4" t="s">
        <v>16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5" t="s">
        <v>17</v>
      </c>
      <c r="H7" s="5" t="s">
        <v>17</v>
      </c>
      <c r="I7" s="7"/>
      <c r="J7" s="7"/>
      <c r="K7" s="5" t="s">
        <v>17</v>
      </c>
      <c r="L7" s="5" t="s">
        <v>17</v>
      </c>
      <c r="M7" s="5" t="s">
        <v>17</v>
      </c>
      <c r="N7" s="5" t="s">
        <v>17</v>
      </c>
      <c r="O7" s="5" t="s">
        <v>17</v>
      </c>
      <c r="P7" s="7"/>
      <c r="Q7" s="7"/>
      <c r="R7" s="6" t="s">
        <v>24</v>
      </c>
      <c r="S7" s="4" t="s">
        <v>16</v>
      </c>
      <c r="T7" s="4" t="s">
        <v>16</v>
      </c>
      <c r="U7" s="5" t="s">
        <v>17</v>
      </c>
      <c r="V7" s="4" t="s">
        <v>16</v>
      </c>
      <c r="W7" s="7"/>
      <c r="X7" s="7"/>
      <c r="Y7" s="4" t="s">
        <v>16</v>
      </c>
      <c r="Z7" s="4" t="s">
        <v>16</v>
      </c>
      <c r="AA7" s="4" t="s">
        <v>16</v>
      </c>
      <c r="AB7" s="4" t="s">
        <v>16</v>
      </c>
      <c r="AC7" s="4" t="s">
        <v>16</v>
      </c>
      <c r="AD7" s="7"/>
      <c r="AE7" s="7"/>
      <c r="AF7" s="6" t="s">
        <v>18</v>
      </c>
      <c r="AG7" s="6" t="s">
        <v>18</v>
      </c>
      <c r="AH7" s="6" t="s">
        <v>18</v>
      </c>
      <c r="AI7" s="5" t="s">
        <v>17</v>
      </c>
      <c r="AJ7" s="5" t="s">
        <v>17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7"/>
      <c r="J8" s="7"/>
      <c r="K8" s="4" t="s">
        <v>16</v>
      </c>
      <c r="L8" s="4" t="s">
        <v>16</v>
      </c>
      <c r="M8" s="4" t="s">
        <v>16</v>
      </c>
      <c r="N8" s="5" t="s">
        <v>17</v>
      </c>
      <c r="O8" s="5" t="s">
        <v>17</v>
      </c>
      <c r="P8" s="7"/>
      <c r="Q8" s="7"/>
      <c r="R8" s="6" t="s">
        <v>24</v>
      </c>
      <c r="S8" s="4" t="s">
        <v>16</v>
      </c>
      <c r="T8" s="4" t="s">
        <v>16</v>
      </c>
      <c r="U8" s="5" t="s">
        <v>17</v>
      </c>
      <c r="V8" s="5" t="s">
        <v>17</v>
      </c>
      <c r="W8" s="7"/>
      <c r="X8" s="7"/>
      <c r="Y8" s="4" t="s">
        <v>16</v>
      </c>
      <c r="Z8" s="4" t="s">
        <v>16</v>
      </c>
      <c r="AA8" s="4" t="s">
        <v>16</v>
      </c>
      <c r="AB8" s="4" t="s">
        <v>16</v>
      </c>
      <c r="AC8" s="6" t="s">
        <v>18</v>
      </c>
      <c r="AD8" s="7"/>
      <c r="AE8" s="7"/>
      <c r="AF8" s="5" t="s">
        <v>17</v>
      </c>
      <c r="AG8" s="5" t="s">
        <v>17</v>
      </c>
      <c r="AH8" s="4" t="s">
        <v>16</v>
      </c>
      <c r="AI8" s="4" t="s">
        <v>16</v>
      </c>
      <c r="AJ8" s="5" t="s">
        <v>17</v>
      </c>
    </row>
    <row r="9" spans="1:36" x14ac:dyDescent="0.25">
      <c r="A9" s="2" t="s">
        <v>23</v>
      </c>
      <c r="B9" s="2">
        <v>45078</v>
      </c>
      <c r="C9" s="2" t="s">
        <v>13</v>
      </c>
      <c r="D9" s="2" t="s">
        <v>14</v>
      </c>
      <c r="E9" s="3" t="s">
        <v>21</v>
      </c>
      <c r="F9" s="5" t="s">
        <v>17</v>
      </c>
      <c r="G9" s="5" t="s">
        <v>17</v>
      </c>
      <c r="H9" s="5" t="s">
        <v>17</v>
      </c>
      <c r="I9" s="7"/>
      <c r="J9" s="7"/>
      <c r="K9" s="4" t="s">
        <v>16</v>
      </c>
      <c r="L9" s="4" t="s">
        <v>16</v>
      </c>
      <c r="M9" s="4" t="s">
        <v>16</v>
      </c>
      <c r="N9" s="5" t="s">
        <v>17</v>
      </c>
      <c r="O9" s="5" t="s">
        <v>17</v>
      </c>
      <c r="P9" s="7"/>
      <c r="Q9" s="7"/>
      <c r="R9" s="4" t="s">
        <v>16</v>
      </c>
      <c r="S9" s="4" t="s">
        <v>16</v>
      </c>
      <c r="T9" s="4" t="s">
        <v>16</v>
      </c>
      <c r="U9" s="5" t="s">
        <v>17</v>
      </c>
      <c r="V9" s="5" t="s">
        <v>17</v>
      </c>
      <c r="W9" s="7"/>
      <c r="X9" s="7"/>
      <c r="Y9" s="4" t="s">
        <v>16</v>
      </c>
      <c r="Z9" s="5" t="s">
        <v>17</v>
      </c>
      <c r="AA9" s="4" t="s">
        <v>16</v>
      </c>
      <c r="AB9" s="5" t="s">
        <v>17</v>
      </c>
      <c r="AC9" s="6" t="s">
        <v>18</v>
      </c>
      <c r="AD9" s="7"/>
      <c r="AE9" s="7"/>
      <c r="AF9" s="4" t="s">
        <v>16</v>
      </c>
      <c r="AG9" s="4" t="s">
        <v>16</v>
      </c>
      <c r="AH9" s="2"/>
      <c r="AI9" s="2"/>
      <c r="AJ9" s="2"/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12</v>
      </c>
      <c r="B14" s="2">
        <f>COUNTIF(F5:AI5,"WFO")</f>
        <v>13</v>
      </c>
      <c r="C14" s="2">
        <f>COUNTIF(F5:AG5,"WFH")</f>
        <v>8</v>
      </c>
    </row>
    <row r="15" spans="1:36" x14ac:dyDescent="0.25">
      <c r="A15" s="2" t="s">
        <v>19</v>
      </c>
      <c r="B15" s="2">
        <f>COUNTIF(F7:AI7,"WFO")</f>
        <v>9</v>
      </c>
      <c r="C15" s="2">
        <f>COUNTIF(F7:AG7,"WFH")</f>
        <v>8</v>
      </c>
    </row>
    <row r="16" spans="1:36" x14ac:dyDescent="0.25">
      <c r="A16" s="2" t="s">
        <v>20</v>
      </c>
      <c r="B16" s="2">
        <f>COUNTIF(F8:AI8,"WFO")</f>
        <v>12</v>
      </c>
      <c r="C16" s="2">
        <f>COUNTIF(F8:AG8,"WFH")</f>
        <v>8</v>
      </c>
    </row>
    <row r="17" spans="1:3" x14ac:dyDescent="0.25">
      <c r="A17" s="2" t="s">
        <v>23</v>
      </c>
      <c r="B17" s="2">
        <f>COUNTIF(F9:AI9,"WFO")</f>
        <v>10</v>
      </c>
      <c r="C17" s="2">
        <f>COUNTIF(F9:AG9,"WFH")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7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B1450-F750-4AAF-92F1-86BC63885A84}">
  <dimension ref="A1:AJ15"/>
  <sheetViews>
    <sheetView workbookViewId="0">
      <selection activeCell="V5" sqref="V5:Y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6" width="9.42578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14</v>
      </c>
      <c r="E1" s="11" t="s">
        <v>4</v>
      </c>
      <c r="F1" s="1">
        <v>46235</v>
      </c>
      <c r="G1" s="1">
        <v>46236</v>
      </c>
      <c r="H1" s="1">
        <v>46237</v>
      </c>
      <c r="I1" s="1">
        <v>46238</v>
      </c>
      <c r="J1" s="1">
        <v>46239</v>
      </c>
      <c r="K1" s="1">
        <v>46240</v>
      </c>
      <c r="L1" s="1">
        <v>46241</v>
      </c>
      <c r="M1" s="1">
        <v>46242</v>
      </c>
      <c r="N1" s="1">
        <v>46243</v>
      </c>
      <c r="O1" s="1">
        <v>46244</v>
      </c>
      <c r="P1" s="1">
        <v>46245</v>
      </c>
      <c r="Q1" s="1">
        <v>46246</v>
      </c>
      <c r="R1" s="1">
        <v>46247</v>
      </c>
      <c r="S1" s="1">
        <v>46248</v>
      </c>
      <c r="T1" s="1">
        <v>46249</v>
      </c>
      <c r="U1" s="1">
        <v>46250</v>
      </c>
      <c r="V1" s="1">
        <v>46251</v>
      </c>
      <c r="W1" s="1">
        <v>46252</v>
      </c>
      <c r="X1" s="1">
        <v>46253</v>
      </c>
      <c r="Y1" s="1">
        <v>46254</v>
      </c>
      <c r="Z1" s="1">
        <v>46255</v>
      </c>
      <c r="AA1" s="1">
        <v>46256</v>
      </c>
      <c r="AB1" s="1">
        <v>46257</v>
      </c>
      <c r="AC1" s="1">
        <v>46258</v>
      </c>
      <c r="AD1" s="1">
        <v>46259</v>
      </c>
      <c r="AE1" s="1">
        <v>46260</v>
      </c>
      <c r="AF1" s="1">
        <v>46261</v>
      </c>
      <c r="AG1" s="1">
        <v>46262</v>
      </c>
      <c r="AH1" s="1">
        <v>46263</v>
      </c>
      <c r="AI1" s="1">
        <v>46264</v>
      </c>
      <c r="AJ1" s="1">
        <v>46265</v>
      </c>
    </row>
    <row r="2" spans="1:36" x14ac:dyDescent="0.25">
      <c r="A2" s="12"/>
      <c r="B2" s="12"/>
      <c r="C2" s="12"/>
      <c r="D2" s="12"/>
      <c r="E2" s="12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6" t="s">
        <v>32</v>
      </c>
      <c r="AF3" s="5" t="s">
        <v>17</v>
      </c>
      <c r="AG3" s="5" t="s">
        <v>17</v>
      </c>
      <c r="AH3" s="7"/>
      <c r="AI3" s="7"/>
      <c r="AJ3" s="4" t="s">
        <v>16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6" t="s">
        <v>32</v>
      </c>
      <c r="AF4" s="5" t="s">
        <v>17</v>
      </c>
      <c r="AG4" s="5" t="s">
        <v>17</v>
      </c>
      <c r="AH4" s="7"/>
      <c r="AI4" s="7"/>
      <c r="AJ4" s="4" t="s">
        <v>16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7"/>
      <c r="H5" s="4" t="s">
        <v>16</v>
      </c>
      <c r="I5" s="5" t="s">
        <v>17</v>
      </c>
      <c r="J5" s="4" t="s">
        <v>16</v>
      </c>
      <c r="K5" s="6" t="s">
        <v>24</v>
      </c>
      <c r="L5" s="6" t="s">
        <v>24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6" t="s">
        <v>24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6" t="s">
        <v>32</v>
      </c>
      <c r="AF5" s="5" t="s">
        <v>17</v>
      </c>
      <c r="AG5" s="5" t="s">
        <v>17</v>
      </c>
      <c r="AH5" s="7"/>
      <c r="AI5" s="7"/>
      <c r="AJ5" s="4" t="s">
        <v>16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7"/>
      <c r="G6" s="7"/>
      <c r="H6" s="4" t="s">
        <v>16</v>
      </c>
      <c r="I6" s="4" t="s">
        <v>16</v>
      </c>
      <c r="J6" s="4" t="s">
        <v>16</v>
      </c>
      <c r="K6" s="5" t="s">
        <v>17</v>
      </c>
      <c r="L6" s="5" t="s">
        <v>17</v>
      </c>
      <c r="M6" s="7"/>
      <c r="N6" s="7"/>
      <c r="O6" s="4" t="s">
        <v>16</v>
      </c>
      <c r="P6" s="5" t="s">
        <v>17</v>
      </c>
      <c r="Q6" s="4" t="s">
        <v>16</v>
      </c>
      <c r="R6" s="4" t="s">
        <v>16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5" t="s">
        <v>17</v>
      </c>
      <c r="Z6" s="5" t="s">
        <v>17</v>
      </c>
      <c r="AA6" s="7"/>
      <c r="AB6" s="7"/>
      <c r="AC6" s="4" t="s">
        <v>16</v>
      </c>
      <c r="AD6" s="4" t="s">
        <v>16</v>
      </c>
      <c r="AE6" s="6" t="s">
        <v>32</v>
      </c>
      <c r="AF6" s="5" t="s">
        <v>17</v>
      </c>
      <c r="AG6" s="5" t="s">
        <v>17</v>
      </c>
      <c r="AH6" s="7"/>
      <c r="AI6" s="7"/>
      <c r="AJ6" s="4" t="s">
        <v>16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7"/>
      <c r="G7" s="7"/>
      <c r="H7" s="4" t="s">
        <v>16</v>
      </c>
      <c r="I7" s="4" t="s">
        <v>16</v>
      </c>
      <c r="J7" s="4" t="s">
        <v>16</v>
      </c>
      <c r="K7" s="4" t="s">
        <v>16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4" t="s">
        <v>16</v>
      </c>
      <c r="S7" s="5" t="s">
        <v>17</v>
      </c>
      <c r="T7" s="7"/>
      <c r="U7" s="7"/>
      <c r="V7" s="5" t="s">
        <v>17</v>
      </c>
      <c r="W7" s="6" t="s">
        <v>24</v>
      </c>
      <c r="X7" s="5" t="s">
        <v>17</v>
      </c>
      <c r="Y7" s="5" t="s">
        <v>17</v>
      </c>
      <c r="Z7" s="5" t="s">
        <v>17</v>
      </c>
      <c r="AA7" s="7"/>
      <c r="AB7" s="7"/>
      <c r="AC7" s="5" t="s">
        <v>17</v>
      </c>
      <c r="AD7" s="5" t="s">
        <v>17</v>
      </c>
      <c r="AE7" s="6" t="s">
        <v>32</v>
      </c>
      <c r="AF7" s="6" t="s">
        <v>24</v>
      </c>
      <c r="AG7" s="6" t="s">
        <v>24</v>
      </c>
      <c r="AH7" s="7"/>
      <c r="AI7" s="7"/>
      <c r="AJ7" s="4" t="s">
        <v>16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7"/>
      <c r="G8" s="7"/>
      <c r="H8" s="4" t="s">
        <v>16</v>
      </c>
      <c r="I8" s="4" t="s">
        <v>16</v>
      </c>
      <c r="J8" s="4" t="s">
        <v>16</v>
      </c>
      <c r="K8" s="5" t="s">
        <v>17</v>
      </c>
      <c r="L8" s="5" t="s">
        <v>17</v>
      </c>
      <c r="M8" s="7"/>
      <c r="N8" s="7"/>
      <c r="O8" s="4" t="s">
        <v>16</v>
      </c>
      <c r="P8" s="5" t="s">
        <v>17</v>
      </c>
      <c r="Q8" s="4" t="s">
        <v>16</v>
      </c>
      <c r="R8" s="4" t="s">
        <v>16</v>
      </c>
      <c r="S8" s="4" t="s">
        <v>16</v>
      </c>
      <c r="T8" s="7"/>
      <c r="U8" s="7"/>
      <c r="V8" s="4" t="s">
        <v>16</v>
      </c>
      <c r="W8" s="4" t="s">
        <v>16</v>
      </c>
      <c r="X8" s="4" t="s">
        <v>16</v>
      </c>
      <c r="Y8" s="5" t="s">
        <v>17</v>
      </c>
      <c r="Z8" s="5" t="s">
        <v>17</v>
      </c>
      <c r="AA8" s="7"/>
      <c r="AB8" s="7"/>
      <c r="AC8" s="4" t="s">
        <v>16</v>
      </c>
      <c r="AD8" s="4" t="s">
        <v>16</v>
      </c>
      <c r="AE8" s="6" t="s">
        <v>32</v>
      </c>
      <c r="AF8" s="5" t="s">
        <v>17</v>
      </c>
      <c r="AG8" s="5" t="s">
        <v>17</v>
      </c>
      <c r="AH8" s="7"/>
      <c r="AI8" s="7"/>
      <c r="AJ8" s="4" t="s">
        <v>16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COUNTIF(H5:AJ5,"WFO")</f>
        <v>11</v>
      </c>
      <c r="C13" s="2">
        <f>COUNTIF(H5:AI5,"WFH")</f>
        <v>6</v>
      </c>
    </row>
    <row r="14" spans="1:36" x14ac:dyDescent="0.25">
      <c r="A14" s="2" t="s">
        <v>19</v>
      </c>
      <c r="B14" s="2">
        <f>COUNTIF(H7:AJ7,"WFO")</f>
        <v>10</v>
      </c>
      <c r="C14" s="2">
        <f>COUNTIF(H7:AI7,"WFH")</f>
        <v>7</v>
      </c>
    </row>
    <row r="15" spans="1:36" x14ac:dyDescent="0.25">
      <c r="A15" s="2" t="s">
        <v>20</v>
      </c>
      <c r="B15" s="2">
        <f>COUNTIF(H8:AJ8,"WFO")</f>
        <v>13</v>
      </c>
      <c r="C15" s="2">
        <f>COUNTIF(H8:AI8,"WFH")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75C38-32AC-4EA3-9612-A4A3D80F7093}">
  <dimension ref="A1:AI15"/>
  <sheetViews>
    <sheetView tabSelected="1" topLeftCell="G1" workbookViewId="0">
      <selection activeCell="AC3" sqref="AC3:AD8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11.5703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5" width="9.4257812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14</v>
      </c>
      <c r="E1" s="11" t="s">
        <v>4</v>
      </c>
      <c r="F1" s="1">
        <v>46266</v>
      </c>
      <c r="G1" s="1">
        <v>46267</v>
      </c>
      <c r="H1" s="1">
        <v>46268</v>
      </c>
      <c r="I1" s="1">
        <v>46269</v>
      </c>
      <c r="J1" s="1">
        <v>46270</v>
      </c>
      <c r="K1" s="1">
        <v>46271</v>
      </c>
      <c r="L1" s="1">
        <v>46272</v>
      </c>
      <c r="M1" s="1">
        <v>46273</v>
      </c>
      <c r="N1" s="1">
        <v>46274</v>
      </c>
      <c r="O1" s="1">
        <v>46275</v>
      </c>
      <c r="P1" s="1">
        <v>46276</v>
      </c>
      <c r="Q1" s="1">
        <v>46277</v>
      </c>
      <c r="R1" s="1">
        <v>46278</v>
      </c>
      <c r="S1" s="1">
        <v>46279</v>
      </c>
      <c r="T1" s="1">
        <v>46280</v>
      </c>
      <c r="U1" s="1">
        <v>46281</v>
      </c>
      <c r="V1" s="1">
        <v>46282</v>
      </c>
      <c r="W1" s="1">
        <v>46283</v>
      </c>
      <c r="X1" s="1">
        <v>46284</v>
      </c>
      <c r="Y1" s="1">
        <v>46285</v>
      </c>
      <c r="Z1" s="1">
        <v>46286</v>
      </c>
      <c r="AA1" s="1">
        <v>46287</v>
      </c>
      <c r="AB1" s="1">
        <v>46288</v>
      </c>
      <c r="AC1" s="1">
        <v>46289</v>
      </c>
      <c r="AD1" s="1">
        <v>46290</v>
      </c>
      <c r="AE1" s="1">
        <v>46291</v>
      </c>
      <c r="AF1" s="1">
        <v>46292</v>
      </c>
      <c r="AG1" s="1">
        <v>46293</v>
      </c>
      <c r="AH1" s="1">
        <v>46294</v>
      </c>
      <c r="AI1" s="1">
        <v>46295</v>
      </c>
    </row>
    <row r="2" spans="1:35" x14ac:dyDescent="0.25">
      <c r="A2" s="12"/>
      <c r="B2" s="12"/>
      <c r="C2" s="12"/>
      <c r="D2" s="12"/>
      <c r="E2" s="12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6" t="s">
        <v>28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10"/>
      <c r="AH3" s="10"/>
      <c r="AI3" s="10"/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5" t="s">
        <v>17</v>
      </c>
      <c r="H4" s="4" t="s">
        <v>16</v>
      </c>
      <c r="I4" s="5" t="s">
        <v>17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28</v>
      </c>
      <c r="T4" s="4" t="s">
        <v>16</v>
      </c>
      <c r="U4" s="4" t="s">
        <v>16</v>
      </c>
      <c r="V4" s="5" t="s">
        <v>17</v>
      </c>
      <c r="W4" s="5" t="s">
        <v>17</v>
      </c>
      <c r="X4" s="7"/>
      <c r="Y4" s="7"/>
      <c r="Z4" s="4" t="s">
        <v>16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10"/>
      <c r="AH4" s="10"/>
      <c r="AI4" s="10"/>
    </row>
    <row r="5" spans="1:35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4" t="s">
        <v>16</v>
      </c>
      <c r="H5" s="5" t="s">
        <v>17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6" t="s">
        <v>28</v>
      </c>
      <c r="T5" s="6" t="s">
        <v>24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10"/>
      <c r="AH5" s="10"/>
      <c r="AI5" s="10"/>
    </row>
    <row r="6" spans="1:35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4" t="s">
        <v>16</v>
      </c>
      <c r="G6" s="4" t="s">
        <v>16</v>
      </c>
      <c r="H6" s="5" t="s">
        <v>17</v>
      </c>
      <c r="I6" s="5" t="s">
        <v>17</v>
      </c>
      <c r="J6" s="7"/>
      <c r="K6" s="7"/>
      <c r="L6" s="4" t="s">
        <v>16</v>
      </c>
      <c r="M6" s="4" t="s">
        <v>16</v>
      </c>
      <c r="N6" s="4" t="s">
        <v>16</v>
      </c>
      <c r="O6" s="5" t="s">
        <v>17</v>
      </c>
      <c r="P6" s="5" t="s">
        <v>17</v>
      </c>
      <c r="Q6" s="7"/>
      <c r="R6" s="7"/>
      <c r="S6" s="6" t="s">
        <v>28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10"/>
      <c r="AH6" s="10"/>
      <c r="AI6" s="10"/>
    </row>
    <row r="7" spans="1:35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4" t="s">
        <v>16</v>
      </c>
      <c r="H7" s="5" t="s">
        <v>17</v>
      </c>
      <c r="I7" s="5" t="s">
        <v>17</v>
      </c>
      <c r="J7" s="7"/>
      <c r="K7" s="7"/>
      <c r="L7" s="4" t="s">
        <v>16</v>
      </c>
      <c r="M7" s="4" t="s">
        <v>16</v>
      </c>
      <c r="N7" s="4" t="s">
        <v>16</v>
      </c>
      <c r="O7" s="5" t="s">
        <v>17</v>
      </c>
      <c r="P7" s="5" t="s">
        <v>17</v>
      </c>
      <c r="Q7" s="7"/>
      <c r="R7" s="7"/>
      <c r="S7" s="6" t="s">
        <v>28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10"/>
      <c r="AH7" s="10"/>
      <c r="AI7" s="10"/>
    </row>
    <row r="8" spans="1:35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5" t="s">
        <v>17</v>
      </c>
      <c r="J8" s="7"/>
      <c r="K8" s="7"/>
      <c r="L8" s="4" t="s">
        <v>16</v>
      </c>
      <c r="M8" s="5" t="s">
        <v>17</v>
      </c>
      <c r="N8" s="4" t="s">
        <v>16</v>
      </c>
      <c r="O8" s="5" t="s">
        <v>17</v>
      </c>
      <c r="P8" s="5" t="s">
        <v>17</v>
      </c>
      <c r="Q8" s="7"/>
      <c r="R8" s="7"/>
      <c r="S8" s="6" t="s">
        <v>28</v>
      </c>
      <c r="T8" s="6" t="s">
        <v>24</v>
      </c>
      <c r="U8" s="6" t="s">
        <v>24</v>
      </c>
      <c r="V8" s="5" t="s">
        <v>17</v>
      </c>
      <c r="W8" s="5" t="s">
        <v>17</v>
      </c>
      <c r="X8" s="7"/>
      <c r="Y8" s="7"/>
      <c r="Z8" s="4" t="s">
        <v>16</v>
      </c>
      <c r="AA8" s="4" t="s">
        <v>16</v>
      </c>
      <c r="AB8" s="4" t="s">
        <v>16</v>
      </c>
      <c r="AC8" s="5" t="s">
        <v>17</v>
      </c>
      <c r="AD8" s="5" t="s">
        <v>17</v>
      </c>
      <c r="AE8" s="7"/>
      <c r="AF8" s="7"/>
      <c r="AG8" s="10"/>
      <c r="AH8" s="10"/>
      <c r="AI8" s="10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COUNTIF(F5:AI5,"WFO")</f>
        <v>8</v>
      </c>
      <c r="C13" s="2">
        <f>COUNTIF(H5:AI5,"WFH")</f>
        <v>8</v>
      </c>
    </row>
    <row r="14" spans="1:35" x14ac:dyDescent="0.25">
      <c r="A14" s="2" t="s">
        <v>19</v>
      </c>
      <c r="B14" s="2">
        <f>COUNTIF(F7:AI7,"WFO")</f>
        <v>10</v>
      </c>
      <c r="C14" s="2">
        <f>COUNTIF(H7:AI7,"WFH")</f>
        <v>8</v>
      </c>
    </row>
    <row r="15" spans="1:35" x14ac:dyDescent="0.25">
      <c r="A15" s="2" t="s">
        <v>20</v>
      </c>
      <c r="B15" s="2">
        <f>COUNTIF(F8:AI8,"WFO")</f>
        <v>6</v>
      </c>
      <c r="C15" s="2">
        <f>COUNTIF(H8:AI8,"WFH")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  <vt:lpstr>UV-WMS Admin Aug 2026</vt:lpstr>
      <vt:lpstr>UV-WMS Admin Sep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2026-09-24T15:24:22Z</dcterms:modified>
  <cp:category/>
  <cp:contentStatus/>
</cp:coreProperties>
</file>