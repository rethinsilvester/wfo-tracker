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"/>
    </mc:Choice>
  </mc:AlternateContent>
  <xr:revisionPtr revIDLastSave="0" documentId="13_ncr:1_{FD341EE0-7FD3-4952-9753-B33DFAE49644}" xr6:coauthVersionLast="47" xr6:coauthVersionMax="47" xr10:uidLastSave="{00000000-0000-0000-0000-000000000000}"/>
  <bookViews>
    <workbookView xWindow="-120" yWindow="-120" windowWidth="29040" windowHeight="15720" firstSheet="13" activeTab="16" xr2:uid="{BB3BFA0C-538F-411B-ABFF-D727D65D2D40}"/>
  </bookViews>
  <sheets>
    <sheet name="UV-WMS Admin Jan 2025" sheetId="9" r:id="rId1"/>
    <sheet name="UV-WMS Admin Feb 2025" sheetId="1" r:id="rId2"/>
    <sheet name="UV-WMS Admin March 2025" sheetId="2" r:id="rId3"/>
    <sheet name="UV-WMS Admin April 2025" sheetId="3" r:id="rId4"/>
    <sheet name="UV-WMS Admin May 2025" sheetId="4" r:id="rId5"/>
    <sheet name="UV-WMS Admin June 2025" sheetId="5" r:id="rId6"/>
    <sheet name="UV-WMS Admin July 2025" sheetId="6" r:id="rId7"/>
    <sheet name="UV-WMS Admin August 2025" sheetId="7" r:id="rId8"/>
    <sheet name="UV-WMS Admin September 2025" sheetId="8" r:id="rId9"/>
    <sheet name="UV-WMS Admin October 2025" sheetId="10" r:id="rId10"/>
    <sheet name="UV-WMS Admin November 2025" sheetId="11" r:id="rId11"/>
    <sheet name="UV-WMS Admin December 2025" sheetId="12" r:id="rId12"/>
    <sheet name="UV-WMS Admin January 2026" sheetId="13" r:id="rId13"/>
    <sheet name="UV-WMS Admin February 2026" sheetId="14" r:id="rId14"/>
    <sheet name="UV-WMS Admin March 2026" sheetId="15" r:id="rId15"/>
    <sheet name="UV-WMS Admin April 2026" sheetId="16" r:id="rId16"/>
    <sheet name="UV-WMS Admin May 2026" sheetId="17" r:id="rId1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17" l="1"/>
  <c r="B15" i="17"/>
  <c r="C14" i="17"/>
  <c r="B14" i="17"/>
  <c r="C13" i="17"/>
  <c r="B13" i="17"/>
  <c r="C12" i="17"/>
  <c r="B12" i="17"/>
  <c r="B14" i="16"/>
  <c r="B15" i="16"/>
  <c r="C15" i="16"/>
  <c r="C14" i="16"/>
  <c r="C13" i="16"/>
  <c r="B13" i="16"/>
  <c r="C12" i="16"/>
  <c r="B12" i="16"/>
  <c r="B15" i="15"/>
  <c r="B13" i="15"/>
  <c r="B12" i="15"/>
  <c r="B14" i="15"/>
  <c r="C15" i="15"/>
  <c r="C14" i="15"/>
  <c r="C13" i="15"/>
  <c r="C12" i="15"/>
  <c r="C15" i="14"/>
  <c r="B15" i="14"/>
  <c r="C14" i="14"/>
  <c r="B14" i="14"/>
  <c r="C13" i="14"/>
  <c r="B13" i="14"/>
  <c r="C12" i="14"/>
  <c r="B12" i="14"/>
  <c r="C15" i="13"/>
  <c r="B15" i="13"/>
  <c r="C14" i="13"/>
  <c r="B14" i="13"/>
  <c r="C13" i="13"/>
  <c r="B13" i="13"/>
  <c r="C12" i="13"/>
  <c r="B12" i="13"/>
  <c r="C15" i="12"/>
  <c r="B15" i="12"/>
  <c r="C14" i="12"/>
  <c r="B14" i="12"/>
  <c r="C13" i="12"/>
  <c r="B13" i="12"/>
  <c r="C12" i="12"/>
  <c r="B12" i="12"/>
  <c r="C15" i="11"/>
  <c r="B15" i="11"/>
  <c r="C14" i="11"/>
  <c r="B14" i="11"/>
  <c r="C13" i="11"/>
  <c r="B13" i="11"/>
  <c r="C12" i="11"/>
  <c r="B12" i="11"/>
  <c r="C12" i="10"/>
  <c r="C15" i="10"/>
  <c r="B15" i="10"/>
  <c r="C14" i="10"/>
  <c r="B14" i="10"/>
  <c r="C13" i="10"/>
  <c r="B13" i="10"/>
  <c r="B12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5" i="8"/>
  <c r="B15" i="8"/>
  <c r="C14" i="8"/>
  <c r="B14" i="8"/>
  <c r="C13" i="8"/>
  <c r="B13" i="8"/>
  <c r="C12" i="8"/>
  <c r="B12" i="8"/>
  <c r="C15" i="7"/>
  <c r="B15" i="7"/>
  <c r="C14" i="7"/>
  <c r="B14" i="7"/>
  <c r="C13" i="7"/>
  <c r="B13" i="7"/>
  <c r="C12" i="7"/>
  <c r="B12" i="7"/>
  <c r="C13" i="6"/>
  <c r="C14" i="6"/>
  <c r="C15" i="6"/>
  <c r="C12" i="6"/>
  <c r="B13" i="6"/>
  <c r="B14" i="6"/>
  <c r="B15" i="6"/>
  <c r="B12" i="6"/>
  <c r="B11" i="2"/>
  <c r="B12" i="2"/>
  <c r="B13" i="2"/>
  <c r="B12" i="3"/>
  <c r="B13" i="3"/>
  <c r="B14" i="3"/>
  <c r="B13" i="5"/>
  <c r="B14" i="5"/>
  <c r="B15" i="5"/>
  <c r="B13" i="4"/>
  <c r="B14" i="4"/>
  <c r="C12" i="4"/>
  <c r="C13" i="4"/>
  <c r="C14" i="4"/>
  <c r="B12" i="4"/>
  <c r="C11" i="4"/>
  <c r="B11" i="4"/>
  <c r="B12" i="5"/>
  <c r="C12" i="1"/>
  <c r="B11" i="1"/>
  <c r="B12" i="1"/>
  <c r="B13" i="1"/>
  <c r="B14" i="1"/>
  <c r="B15" i="1"/>
  <c r="C11" i="1"/>
  <c r="C11" i="2"/>
  <c r="C12" i="2"/>
  <c r="C13" i="2"/>
  <c r="B10" i="2"/>
  <c r="C10" i="2"/>
  <c r="B11" i="3"/>
  <c r="C12" i="3"/>
  <c r="C13" i="3"/>
  <c r="C14" i="3"/>
  <c r="C11" i="3"/>
  <c r="C13" i="5"/>
  <c r="C14" i="5"/>
  <c r="C15" i="5"/>
  <c r="C12" i="5"/>
</calcChain>
</file>

<file path=xl/sharedStrings.xml><?xml version="1.0" encoding="utf-8"?>
<sst xmlns="http://schemas.openxmlformats.org/spreadsheetml/2006/main" count="2464" uniqueCount="29">
  <si>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</si>
  <si>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</si>
  <si>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</si>
  <si>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</si>
  <si>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</si>
  <si>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</si>
  <si>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</si>
  <si>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</si>
  <si>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</si>
  <si>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</si>
  <si>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</si>
  <si>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</si>
  <si>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</si>
  <si>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</si>
  <si>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</si>
  <si>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</si>
  <si>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</si>
  <si>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</si>
  <si>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</si>
  <si>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</si>
  <si>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</si>
  <si>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</si>
  <si>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</si>
  <si>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</si>
  <si>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</si>
  <si>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</si>
  <si>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</si>
  <si>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</si>
  <si>
    <t>HOLIDAY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</si>
</sst>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5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4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workbookViewId="0">
      <selection activeCell="D13" sqref="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  <col min="34" max="34" width="10.5703125" bestFit="1" customWidth="1"/>
    <col min="35" max="36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2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2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2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2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topLeftCell="F1" workbookViewId="0">
      <selection activeCell="AC6" sqref="AC6:AG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1" max="11" width="9.1406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5" t="s">
        <v>17</v>
      </c>
      <c r="I6" s="5" t="s">
        <v>17</v>
      </c>
      <c r="J6" s="5" t="s">
        <v>17</v>
      </c>
      <c r="K6" s="5" t="s">
        <v>17</v>
      </c>
      <c r="L6" s="5" t="s">
        <v>17</v>
      </c>
      <c r="M6" s="7"/>
      <c r="N6" s="7"/>
      <c r="O6" s="5" t="s">
        <v>17</v>
      </c>
      <c r="P6" s="5" t="s">
        <v>17</v>
      </c>
      <c r="Q6" s="5" t="s">
        <v>17</v>
      </c>
      <c r="R6" s="5" t="s">
        <v>17</v>
      </c>
      <c r="S6" s="5" t="s">
        <v>17</v>
      </c>
      <c r="T6" s="7"/>
      <c r="U6" s="7"/>
      <c r="V6" s="5" t="s">
        <v>17</v>
      </c>
      <c r="W6" s="5" t="s">
        <v>17</v>
      </c>
      <c r="X6" s="5" t="s">
        <v>17</v>
      </c>
      <c r="Y6" s="5" t="s">
        <v>17</v>
      </c>
      <c r="Z6" s="5" t="s">
        <v>17</v>
      </c>
      <c r="AA6" s="7"/>
      <c r="AB6" s="7"/>
      <c r="AC6" s="5" t="s">
        <v>17</v>
      </c>
      <c r="AD6" s="5" t="s">
        <v>17</v>
      </c>
      <c r="AE6" s="5" t="s">
        <v>17</v>
      </c>
      <c r="AF6" s="5" t="s">
        <v>17</v>
      </c>
      <c r="AG6" s="5" t="s">
        <v>17</v>
      </c>
    </row>
    <row r="7" spans="1:33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25">
      <c r="A10" s="8" t="s">
        <v>1</v>
      </c>
      <c r="B10" s="2" t="s">
        <v>27</v>
      </c>
      <c r="C10" s="2" t="s">
        <v>26</v>
      </c>
    </row>
    <row r="11" spans="1:33" x14ac:dyDescent="0.2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2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25">
      <c r="A13" s="2" t="s">
        <v>20</v>
      </c>
      <c r="B13" s="2">
        <f>COUNTIF(F5:AI5,"WFO")</f>
        <v>12</v>
      </c>
      <c r="C13" s="2">
        <f t="shared" ref="C13:C15" si="0">COUNTIF(F6:AI6,"WFH")</f>
        <v>20</v>
      </c>
    </row>
    <row r="14" spans="1:33" x14ac:dyDescent="0.2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2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3"/>
  <sheetViews>
    <sheetView workbookViewId="0">
      <pane xSplit="2" topLeftCell="C1" activePane="topRight" state="frozen"/>
      <selection pane="topRight" activeCell="A17" sqref="A17"/>
    </sheetView>
  </sheetViews>
  <sheetFormatPr defaultRowHeight="15" x14ac:dyDescent="0.25"/>
  <cols>
    <col min="1" max="1" width="18.85546875" bestFit="1" customWidth="1"/>
    <col min="2" max="2" width="10.5703125" bestFit="1" customWidth="1"/>
    <col min="3" max="3" width="12.140625" bestFit="1" customWidth="1"/>
    <col min="4" max="4" width="19.7109375" bestFit="1" customWidth="1"/>
    <col min="5" max="5" width="12.85546875" bestFit="1" customWidth="1"/>
    <col min="6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  <col min="36" max="36" width="10.855468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4" t="s">
        <v>16</v>
      </c>
      <c r="I6" s="4" t="s">
        <v>16</v>
      </c>
      <c r="J6" s="5" t="s">
        <v>17</v>
      </c>
      <c r="K6" s="4" t="s">
        <v>16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4" t="s">
        <v>16</v>
      </c>
      <c r="T6" s="7"/>
      <c r="U6" s="7"/>
      <c r="V6" s="4" t="s">
        <v>16</v>
      </c>
      <c r="W6" s="4" t="s">
        <v>16</v>
      </c>
      <c r="X6" s="4" t="s">
        <v>16</v>
      </c>
      <c r="Y6" s="6" t="s">
        <v>18</v>
      </c>
      <c r="Z6" s="5" t="s">
        <v>17</v>
      </c>
      <c r="AA6" s="2"/>
      <c r="AB6" s="2"/>
      <c r="AC6" s="4" t="s">
        <v>16</v>
      </c>
      <c r="AD6" s="4" t="s">
        <v>16</v>
      </c>
      <c r="AE6" s="4" t="s">
        <v>16</v>
      </c>
      <c r="AF6" s="4" t="s">
        <v>16</v>
      </c>
      <c r="AG6" s="5" t="s">
        <v>17</v>
      </c>
      <c r="AH6" s="2"/>
      <c r="AI6" s="2"/>
      <c r="AJ6" s="13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14"/>
    </row>
    <row r="9" spans="1:36" x14ac:dyDescent="0.25">
      <c r="A9" s="8" t="s">
        <v>1</v>
      </c>
      <c r="B9" s="2" t="s">
        <v>27</v>
      </c>
      <c r="C9" s="2" t="s">
        <v>26</v>
      </c>
    </row>
    <row r="10" spans="1:36" x14ac:dyDescent="0.25">
      <c r="A10" s="2" t="s">
        <v>12</v>
      </c>
      <c r="B10" s="2">
        <f>COUNTIF(F3:AI3,"WFO")</f>
        <v>12</v>
      </c>
      <c r="C10" s="2">
        <f>COUNTIF(F3:AI3,"WFH")</f>
        <v>8</v>
      </c>
    </row>
    <row r="11" spans="1:36" x14ac:dyDescent="0.25">
      <c r="A11" s="2" t="s">
        <v>19</v>
      </c>
      <c r="B11" s="2">
        <f>COUNTIF(F4:AI4,"WFO")</f>
        <v>12</v>
      </c>
      <c r="C11" s="2">
        <f>COUNTIF(F4:AI4,"WFH")</f>
        <v>8</v>
      </c>
    </row>
    <row r="12" spans="1:36" x14ac:dyDescent="0.25">
      <c r="A12" s="2" t="s">
        <v>20</v>
      </c>
      <c r="B12" s="2">
        <f>COUNTIF(F5:AI5,"WFO")</f>
        <v>13</v>
      </c>
      <c r="C12" s="2">
        <f>COUNTIF(F5:AI5,"WFH")</f>
        <v>7</v>
      </c>
    </row>
    <row r="13" spans="1:36" x14ac:dyDescent="0.25">
      <c r="A13" s="2" t="s">
        <v>23</v>
      </c>
      <c r="B13" s="2">
        <f t="shared" ref="B13" si="0">COUNTIF(F6:AI6,"WFO")</f>
        <v>11</v>
      </c>
      <c r="C13" s="2">
        <f t="shared" ref="C13" si="1">COUNTIF(F6:AI6,"WFH")</f>
        <v>3</v>
      </c>
    </row>
  </sheetData>
  <mergeCells count="6">
    <mergeCell ref="AJ3:AJ7"/>
    <mergeCell ref="B1:B2"/>
    <mergeCell ref="A1:A2"/>
    <mergeCell ref="C1:C2"/>
    <mergeCell ref="D1:D2"/>
    <mergeCell ref="E1:E2"/>
  </mergeCells>
  <conditionalFormatting sqref="B10:B13">
    <cfRule type="cellIs" dxfId="42" priority="1" operator="lessThan">
      <formula>12</formula>
    </cfRule>
    <cfRule type="cellIs" dxfId="41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4"/>
  <sheetViews>
    <sheetView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42578125" bestFit="1" customWidth="1"/>
    <col min="7" max="7" width="11.5703125" bestFit="1" customWidth="1"/>
    <col min="8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6" t="s">
        <v>24</v>
      </c>
      <c r="I6" s="6" t="s">
        <v>24</v>
      </c>
      <c r="J6" s="7"/>
      <c r="K6" s="7"/>
      <c r="L6" s="4" t="s">
        <v>16</v>
      </c>
      <c r="M6" s="4" t="s">
        <v>16</v>
      </c>
      <c r="N6" s="4" t="s">
        <v>16</v>
      </c>
      <c r="O6" s="4" t="s">
        <v>16</v>
      </c>
      <c r="P6" s="5" t="s">
        <v>17</v>
      </c>
      <c r="Q6" s="7"/>
      <c r="R6" s="7"/>
      <c r="S6" s="4" t="s">
        <v>16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6" t="s">
        <v>18</v>
      </c>
      <c r="AA6" s="4" t="s">
        <v>16</v>
      </c>
      <c r="AB6" s="4" t="s">
        <v>16</v>
      </c>
      <c r="AC6" s="4" t="s">
        <v>16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5" x14ac:dyDescent="0.25">
      <c r="A10" s="8" t="s">
        <v>1</v>
      </c>
      <c r="B10" s="2" t="s">
        <v>27</v>
      </c>
      <c r="C10" s="2" t="s">
        <v>26</v>
      </c>
    </row>
    <row r="11" spans="1:35" x14ac:dyDescent="0.25">
      <c r="A11" s="2" t="s">
        <v>12</v>
      </c>
      <c r="B11" s="2">
        <f>COUNTIF(F3:AI3,"WFO")</f>
        <v>14</v>
      </c>
      <c r="C11" s="2">
        <f>COUNTIF(F3:AI3,"WFH")</f>
        <v>7</v>
      </c>
    </row>
    <row r="12" spans="1:35" x14ac:dyDescent="0.25">
      <c r="A12" s="2" t="s">
        <v>19</v>
      </c>
      <c r="B12" s="2">
        <f>COUNTIF(F4:AI4,"WFO")</f>
        <v>12</v>
      </c>
      <c r="C12" s="2">
        <f>COUNTIF(F4:AI4,"WFH")</f>
        <v>6</v>
      </c>
    </row>
    <row r="13" spans="1:35" x14ac:dyDescent="0.25">
      <c r="A13" s="2" t="s">
        <v>20</v>
      </c>
      <c r="B13" s="2">
        <f>COUNTIF(F5:AI5,"WFO")</f>
        <v>15</v>
      </c>
      <c r="C13" s="2">
        <f>COUNTIF(F5:AI5,"WFH")</f>
        <v>7</v>
      </c>
    </row>
    <row r="14" spans="1:35" x14ac:dyDescent="0.25">
      <c r="A14" s="2" t="s">
        <v>23</v>
      </c>
      <c r="B14" s="2">
        <f t="shared" ref="B14" si="0">COUNTIF(F6:AI6,"WFO")</f>
        <v>15</v>
      </c>
      <c r="C14" s="2">
        <f t="shared" ref="C14" si="1">COUNTIF(F6:AI6,"WFH")</f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1:B14">
    <cfRule type="cellIs" dxfId="40" priority="1" operator="lessThan">
      <formula>12</formula>
    </cfRule>
    <cfRule type="cellIs" dxfId="39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4"/>
  <sheetViews>
    <sheetView zoomScaleNormal="100"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2.7109375" bestFit="1" customWidth="1"/>
    <col min="7" max="7" width="8.7109375" bestFit="1" customWidth="1"/>
    <col min="8" max="8" width="8.85546875" bestFit="1" customWidth="1"/>
    <col min="9" max="11" width="8.7109375" bestFit="1" customWidth="1"/>
    <col min="12" max="12" width="11.5703125" bestFit="1" customWidth="1"/>
    <col min="14" max="14" width="8.7109375" bestFit="1" customWidth="1"/>
    <col min="15" max="18" width="9.7109375" bestFit="1" customWidth="1"/>
    <col min="19" max="19" width="11.5703125" bestFit="1" customWidth="1"/>
    <col min="20" max="25" width="9.7109375" bestFit="1" customWidth="1"/>
    <col min="26" max="26" width="11.5703125" bestFit="1" customWidth="1"/>
    <col min="27" max="32" width="9.7109375" bestFit="1" customWidth="1"/>
    <col min="33" max="33" width="11.5703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25</v>
      </c>
      <c r="G6" s="4" t="s">
        <v>16</v>
      </c>
      <c r="H6" s="7"/>
      <c r="I6" s="7"/>
      <c r="J6" s="4" t="s">
        <v>16</v>
      </c>
      <c r="K6" s="4" t="s">
        <v>16</v>
      </c>
      <c r="L6" s="6" t="s">
        <v>18</v>
      </c>
      <c r="M6" s="4" t="s">
        <v>16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4" t="s">
        <v>16</v>
      </c>
      <c r="U6" s="5" t="s">
        <v>17</v>
      </c>
      <c r="V6" s="7"/>
      <c r="W6" s="7"/>
      <c r="X6" s="4" t="s">
        <v>16</v>
      </c>
      <c r="Y6" s="5" t="s">
        <v>17</v>
      </c>
      <c r="Z6" s="4" t="s">
        <v>16</v>
      </c>
      <c r="AA6" s="4" t="s">
        <v>16</v>
      </c>
      <c r="AB6" s="6" t="s">
        <v>24</v>
      </c>
      <c r="AC6" s="7"/>
      <c r="AD6" s="7"/>
      <c r="AE6" s="5" t="s">
        <v>17</v>
      </c>
      <c r="AF6" s="4" t="s">
        <v>16</v>
      </c>
      <c r="AG6" s="5" t="s">
        <v>17</v>
      </c>
      <c r="AH6" s="6" t="s">
        <v>24</v>
      </c>
      <c r="AI6" s="6" t="s">
        <v>24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COUNTIF(G3:AJ3,"WFO")</f>
        <v>10</v>
      </c>
      <c r="C11" s="2">
        <f>COUNTIF(G3:AJ3,"WFH")</f>
        <v>9</v>
      </c>
    </row>
    <row r="12" spans="1:36" x14ac:dyDescent="0.25">
      <c r="A12" s="2" t="s">
        <v>19</v>
      </c>
      <c r="B12" s="2">
        <f>COUNTIF(G4:AJ4,"WFO")</f>
        <v>12</v>
      </c>
      <c r="C12" s="2">
        <f>COUNTIF(G4:AJ4,"WFH")</f>
        <v>8</v>
      </c>
    </row>
    <row r="13" spans="1:36" x14ac:dyDescent="0.25">
      <c r="A13" s="2" t="s">
        <v>20</v>
      </c>
      <c r="B13" s="2">
        <f>COUNTIF(G5:AJ5,"WFO")</f>
        <v>9</v>
      </c>
      <c r="C13" s="2">
        <f>COUNTIF(G5:AJ5,"WFH")</f>
        <v>6</v>
      </c>
    </row>
    <row r="14" spans="1:36" x14ac:dyDescent="0.25">
      <c r="A14" s="2" t="s">
        <v>23</v>
      </c>
      <c r="B14" s="2">
        <f t="shared" ref="B14" si="0">COUNTIF(G6:AJ6,"WFO")</f>
        <v>12</v>
      </c>
      <c r="C14" s="2">
        <f t="shared" ref="C14" si="1">COUNTIF(G6:AJ6,"WFH")</f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4">
    <cfRule type="cellIs" dxfId="38" priority="2" operator="greaterThan">
      <formula>12</formula>
    </cfRule>
    <cfRule type="cellIs" dxfId="37" priority="4" operator="lessThan">
      <formula>12</formula>
    </cfRule>
  </conditionalFormatting>
  <conditionalFormatting sqref="B12:B14">
    <cfRule type="cellIs" dxfId="36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5"/>
  <sheetViews>
    <sheetView workbookViewId="0">
      <pane xSplit="1" topLeftCell="B1" activePane="topRight" state="frozen"/>
      <selection pane="topRight" activeCell="C27" sqref="C27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5" max="5" width="12.855468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4" t="s">
        <v>16</v>
      </c>
      <c r="J6" s="5" t="s">
        <v>17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5" t="s">
        <v>17</v>
      </c>
      <c r="R6" s="5" t="s">
        <v>17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4" t="s">
        <v>16</v>
      </c>
      <c r="AG6" s="7"/>
      <c r="AH6" s="7"/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8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COUNTIF(G3:AJ3,"WFO")</f>
        <v>11</v>
      </c>
      <c r="C12" s="2">
        <f>COUNTIF(G3:AJ3,"WFH")</f>
        <v>8</v>
      </c>
    </row>
    <row r="13" spans="1:35" x14ac:dyDescent="0.25">
      <c r="A13" s="2" t="s">
        <v>19</v>
      </c>
      <c r="B13" s="2">
        <f>COUNTIF(G4:AJ4,"WFO")</f>
        <v>14</v>
      </c>
      <c r="C13" s="2">
        <f>COUNTIF(G4:AJ4,"WFH")</f>
        <v>7</v>
      </c>
    </row>
    <row r="14" spans="1:35" x14ac:dyDescent="0.25">
      <c r="A14" s="2" t="s">
        <v>20</v>
      </c>
      <c r="B14" s="2">
        <f>COUNTIF(G5:AJ5,"WFO")</f>
        <v>13</v>
      </c>
      <c r="C14" s="2">
        <f>COUNTIF(G5:AJ5,"WFH")</f>
        <v>8</v>
      </c>
    </row>
    <row r="15" spans="1:35" x14ac:dyDescent="0.25">
      <c r="A15" s="2" t="s">
        <v>23</v>
      </c>
      <c r="B15" s="2">
        <f t="shared" ref="B15" si="0">COUNTIF(G6:AJ6,"WFO")</f>
        <v>14</v>
      </c>
      <c r="C15" s="2">
        <f t="shared" ref="C15" si="1">COUNTIF(G6:AJ6,"WFH")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5" priority="1" operator="greaterThan">
      <formula>11</formula>
    </cfRule>
    <cfRule type="cellIs" dxfId="34" priority="2" operator="lessThan">
      <formula>12</formula>
    </cfRule>
    <cfRule type="cellIs" dxfId="33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5"/>
  <sheetViews>
    <sheetView workbookViewId="0">
      <selection activeCell="B32" sqref="B32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5" t="s">
        <v>17</v>
      </c>
      <c r="H6" s="4" t="s">
        <v>16</v>
      </c>
      <c r="I6" s="5" t="s">
        <v>17</v>
      </c>
      <c r="J6" s="7"/>
      <c r="K6" s="7"/>
      <c r="L6" s="5" t="s">
        <v>17</v>
      </c>
      <c r="M6" s="4" t="s">
        <v>16</v>
      </c>
      <c r="N6" s="4" t="s">
        <v>16</v>
      </c>
      <c r="O6" s="6" t="s">
        <v>24</v>
      </c>
      <c r="P6" s="6" t="s">
        <v>24</v>
      </c>
      <c r="Q6" s="7"/>
      <c r="R6" s="7"/>
      <c r="S6" s="6" t="s">
        <v>18</v>
      </c>
      <c r="T6" s="4" t="s">
        <v>16</v>
      </c>
      <c r="U6" s="4" t="s">
        <v>16</v>
      </c>
      <c r="V6" s="4" t="s">
        <v>16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COUNTIF(F3:AJ3,"WFH")</f>
        <v>10</v>
      </c>
    </row>
    <row r="13" spans="1:36" x14ac:dyDescent="0.25">
      <c r="A13" s="2" t="s">
        <v>19</v>
      </c>
      <c r="B13" s="2">
        <f>COUNTIF(F4:AJ4,"WFO")</f>
        <v>12</v>
      </c>
      <c r="C13" s="2">
        <f>COUNTIF(F4:AJ4,"WFH")</f>
        <v>10</v>
      </c>
    </row>
    <row r="14" spans="1:36" x14ac:dyDescent="0.25">
      <c r="A14" s="2" t="s">
        <v>20</v>
      </c>
      <c r="B14" s="2">
        <f>COUNTIF(F5:AJ5,"WFO")</f>
        <v>11</v>
      </c>
      <c r="C14" s="2">
        <f>COUNTIF(F5:AJ5,"WFH")</f>
        <v>9</v>
      </c>
    </row>
    <row r="15" spans="1:36" x14ac:dyDescent="0.25">
      <c r="A15" s="2" t="s">
        <v>23</v>
      </c>
      <c r="B15" s="2">
        <f t="shared" ref="B15" si="0">COUNTIF(F6:AJ6,"WFO")</f>
        <v>13</v>
      </c>
      <c r="C15" s="2">
        <f t="shared" ref="C15" si="1">COUNTIF(F6:AJ6,"WFH")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2" priority="1" operator="greaterThan">
      <formula>11</formula>
    </cfRule>
    <cfRule type="cellIs" dxfId="31" priority="2" operator="lessThan">
      <formula>12</formula>
    </cfRule>
    <cfRule type="cellIs" dxfId="30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5"/>
  <sheetViews>
    <sheetView workbookViewId="0">
      <selection activeCell="C30" sqref="C30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</cols>
  <sheetData>
    <row r="1" spans="1:37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5" t="s">
        <v>17</v>
      </c>
      <c r="G6" s="7"/>
      <c r="H6" s="7"/>
      <c r="I6" s="4" t="s">
        <v>16</v>
      </c>
      <c r="J6" s="4" t="s">
        <v>16</v>
      </c>
      <c r="K6" s="4" t="s">
        <v>16</v>
      </c>
      <c r="L6" s="4" t="s">
        <v>16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6" t="s">
        <v>25</v>
      </c>
      <c r="U6" s="7"/>
      <c r="V6" s="7"/>
      <c r="W6" s="4" t="s">
        <v>16</v>
      </c>
      <c r="X6" s="4" t="s">
        <v>16</v>
      </c>
      <c r="Y6" s="6" t="s">
        <v>18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6" t="s">
        <v>25</v>
      </c>
      <c r="AG6" s="4" t="s">
        <v>16</v>
      </c>
      <c r="AH6" s="5" t="s">
        <v>17</v>
      </c>
      <c r="AI6" s="7"/>
      <c r="AJ6" s="7"/>
    </row>
    <row r="7" spans="1:37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7" x14ac:dyDescent="0.25">
      <c r="A11" s="9" t="s">
        <v>1</v>
      </c>
      <c r="B11" s="2" t="s">
        <v>27</v>
      </c>
      <c r="C11" s="2" t="s">
        <v>26</v>
      </c>
    </row>
    <row r="12" spans="1:37" x14ac:dyDescent="0.25">
      <c r="A12" s="2" t="s">
        <v>12</v>
      </c>
      <c r="B12" s="2">
        <f>COUNTIF(F3:AJ3,"WFO")</f>
        <v>10</v>
      </c>
      <c r="C12" s="2">
        <f>COUNTIF(F3:AJ3,"WFH")</f>
        <v>8</v>
      </c>
    </row>
    <row r="13" spans="1:37" x14ac:dyDescent="0.25">
      <c r="A13" s="2" t="s">
        <v>19</v>
      </c>
      <c r="B13" s="2">
        <f>COUNTIF(F4:AJ4,"WFO")</f>
        <v>12</v>
      </c>
      <c r="C13" s="2">
        <f>COUNTIF(F4:AJ4,"WFH")</f>
        <v>4</v>
      </c>
    </row>
    <row r="14" spans="1:37" x14ac:dyDescent="0.25">
      <c r="A14" s="2" t="s">
        <v>20</v>
      </c>
      <c r="B14" s="2">
        <f>COUNTIF(F5:AJ5,"WFO")</f>
        <v>10</v>
      </c>
      <c r="C14" s="2">
        <f>COUNTIF(F5:AJ5,"WFH")</f>
        <v>9</v>
      </c>
    </row>
    <row r="15" spans="1:37" x14ac:dyDescent="0.25">
      <c r="A15" s="2" t="s">
        <v>23</v>
      </c>
      <c r="B15" s="2">
        <f t="shared" ref="B15" si="0">COUNTIF(F6:AJ6,"WFO")</f>
        <v>12</v>
      </c>
      <c r="C15" s="2">
        <f t="shared" ref="C15" si="1">COUNTIF(F6:AJ6,"WFH")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9" priority="1" operator="greaterThan">
      <formula>11</formula>
    </cfRule>
    <cfRule type="cellIs" dxfId="28" priority="2" operator="lessThan">
      <formula>12</formula>
    </cfRule>
    <cfRule type="cellIs" dxfId="27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5"/>
  <sheetViews>
    <sheetView workbookViewId="0">
      <selection activeCell="H9" sqref="H9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  <col min="29" max="29" width="11.5703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5" t="s">
        <v>17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6" t="s">
        <v>18</v>
      </c>
      <c r="U6" s="4" t="s">
        <v>16</v>
      </c>
      <c r="V6" s="5" t="s">
        <v>17</v>
      </c>
      <c r="W6" s="4" t="s">
        <v>16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COUNTIF(F3:AI3,"WFH")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COUNTIF(F4:AI4,"WFH")</f>
        <v>7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9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6" priority="1" operator="greaterThan">
      <formula>11</formula>
    </cfRule>
    <cfRule type="cellIs" dxfId="25" priority="2" operator="lessThan">
      <formula>12</formula>
    </cfRule>
    <cfRule type="cellIs" dxfId="24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1.5703125" bestFit="1" customWidth="1"/>
    <col min="7" max="7" width="12.7109375" bestFit="1" customWidth="1"/>
    <col min="8" max="12" width="9.42578125" bestFit="1" customWidth="1"/>
    <col min="13" max="13" width="11.5703125" bestFit="1" customWidth="1"/>
    <col min="14" max="14" width="9.42578125" bestFit="1" customWidth="1"/>
    <col min="15" max="19" width="10.42578125" bestFit="1" customWidth="1"/>
    <col min="20" max="20" width="11.5703125" bestFit="1" customWidth="1"/>
    <col min="21" max="24" width="10.42578125" bestFit="1" customWidth="1"/>
    <col min="25" max="25" width="12.7109375" bestFit="1" customWidth="1"/>
    <col min="26" max="26" width="10.42578125" bestFit="1" customWidth="1"/>
    <col min="27" max="27" width="11.5703125" bestFit="1" customWidth="1"/>
    <col min="28" max="33" width="10.42578125" bestFit="1" customWidth="1"/>
    <col min="34" max="34" width="11.5703125" bestFit="1" customWidth="1"/>
    <col min="35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6" t="s">
        <v>25</v>
      </c>
      <c r="H6" s="4" t="s">
        <v>16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5" t="s">
        <v>17</v>
      </c>
      <c r="S6" s="5" t="s">
        <v>17</v>
      </c>
      <c r="T6" s="5" t="s">
        <v>17</v>
      </c>
      <c r="U6" s="5" t="s">
        <v>17</v>
      </c>
      <c r="V6" s="5" t="s">
        <v>17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5" t="s">
        <v>17</v>
      </c>
      <c r="AG6" s="5" t="s">
        <v>17</v>
      </c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8</v>
      </c>
      <c r="C12" s="2">
        <f>COUNTIF(F3:AI3,"WFH")</f>
        <v>11</v>
      </c>
    </row>
    <row r="13" spans="1:36" x14ac:dyDescent="0.25">
      <c r="A13" s="2" t="s">
        <v>19</v>
      </c>
      <c r="B13" s="2">
        <f>COUNTIF(F4:AI4,"WFO")</f>
        <v>14</v>
      </c>
      <c r="C13" s="2">
        <f>COUNTIF(F4:AI4,"WFH")</f>
        <v>5</v>
      </c>
    </row>
    <row r="14" spans="1:36" x14ac:dyDescent="0.25">
      <c r="A14" s="2" t="s">
        <v>20</v>
      </c>
      <c r="B14" s="2">
        <f>COUNTIF(F5:AI5,"WFO")</f>
        <v>8</v>
      </c>
      <c r="C14" s="2">
        <f>COUNTIF(F5:AI5,"WFH")</f>
        <v>11</v>
      </c>
    </row>
    <row r="15" spans="1:36" x14ac:dyDescent="0.25">
      <c r="A15" s="2" t="s">
        <v>23</v>
      </c>
      <c r="B15" s="2">
        <f>COUNTIF(F6:AI6,"WFO")</f>
        <v>5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3" priority="1" operator="greaterThan">
      <formula>11</formula>
    </cfRule>
    <cfRule type="cellIs" dxfId="22" priority="2" operator="lessThan">
      <formula>12</formula>
    </cfRule>
    <cfRule type="cellIs" dxfId="21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4" t="s">
        <v>16</v>
      </c>
      <c r="AD3" s="4" t="s">
        <v>16</v>
      </c>
      <c r="AE3" s="5" t="s">
        <v>17</v>
      </c>
      <c r="AF3" s="4" t="s">
        <v>16</v>
      </c>
      <c r="AG3" s="5" t="s">
        <v>17</v>
      </c>
      <c r="AH3" s="7"/>
      <c r="AI3" s="7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4" t="s">
        <v>16</v>
      </c>
      <c r="AD4" s="4" t="s">
        <v>16</v>
      </c>
      <c r="AE4" s="5" t="s">
        <v>17</v>
      </c>
      <c r="AF4" s="4" t="s">
        <v>16</v>
      </c>
      <c r="AG4" s="5" t="s">
        <v>17</v>
      </c>
      <c r="AH4" s="7"/>
      <c r="AI4" s="7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7"/>
      <c r="AI5" s="7"/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6" t="s">
        <v>18</v>
      </c>
      <c r="I6" s="4" t="s">
        <v>16</v>
      </c>
      <c r="J6" s="4" t="s">
        <v>16</v>
      </c>
      <c r="K6" s="5" t="s">
        <v>17</v>
      </c>
      <c r="L6" s="4" t="s">
        <v>16</v>
      </c>
      <c r="M6" s="7"/>
      <c r="N6" s="7"/>
      <c r="O6" s="4" t="s">
        <v>16</v>
      </c>
      <c r="P6" s="4" t="s">
        <v>16</v>
      </c>
      <c r="Q6" s="4" t="s">
        <v>16</v>
      </c>
      <c r="R6" s="5" t="s">
        <v>17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4" t="s">
        <v>16</v>
      </c>
      <c r="Z6" s="4" t="s">
        <v>16</v>
      </c>
      <c r="AA6" s="7"/>
      <c r="AB6" s="7"/>
      <c r="AC6" s="4" t="s">
        <v>16</v>
      </c>
      <c r="AD6" s="5" t="s">
        <v>17</v>
      </c>
      <c r="AE6" s="5" t="s">
        <v>17</v>
      </c>
      <c r="AF6" s="4" t="s">
        <v>16</v>
      </c>
      <c r="AG6" s="5" t="s">
        <v>17</v>
      </c>
      <c r="AH6" s="7"/>
      <c r="AI6" s="7"/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8</v>
      </c>
      <c r="C12" s="2">
        <f>COUNTIF(F3:AI3,"WFH")</f>
        <v>6</v>
      </c>
    </row>
    <row r="13" spans="1:35" x14ac:dyDescent="0.25">
      <c r="A13" s="2" t="s">
        <v>19</v>
      </c>
      <c r="B13" s="2">
        <f>COUNTIF(F4:AI4,"WFO")</f>
        <v>13</v>
      </c>
      <c r="C13" s="2">
        <f>COUNTIF(F4:AI4,"WFH")</f>
        <v>6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7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0" priority="1" operator="greaterThan">
      <formula>11</formula>
    </cfRule>
    <cfRule type="cellIs" dxfId="19" priority="2" operator="lessThan">
      <formula>12</formula>
    </cfRule>
    <cfRule type="cellIs" dxfId="18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C623D-E1BD-4FE8-8DE5-A86BDEB0A522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45992</v>
      </c>
      <c r="G1" s="1">
        <v>45993</v>
      </c>
      <c r="H1" s="1">
        <v>45994</v>
      </c>
      <c r="I1" s="1">
        <v>45995</v>
      </c>
      <c r="J1" s="1">
        <v>45996</v>
      </c>
      <c r="K1" s="1">
        <v>45997</v>
      </c>
      <c r="L1" s="1">
        <v>45998</v>
      </c>
      <c r="M1" s="1">
        <v>45999</v>
      </c>
      <c r="N1" s="1">
        <v>46000</v>
      </c>
      <c r="O1" s="1">
        <v>46001</v>
      </c>
      <c r="P1" s="1">
        <v>46002</v>
      </c>
      <c r="Q1" s="1">
        <v>46003</v>
      </c>
      <c r="R1" s="1">
        <v>46004</v>
      </c>
      <c r="S1" s="1">
        <v>46005</v>
      </c>
      <c r="T1" s="1">
        <v>46006</v>
      </c>
      <c r="U1" s="1">
        <v>46007</v>
      </c>
      <c r="V1" s="1">
        <v>46008</v>
      </c>
      <c r="W1" s="1">
        <v>46009</v>
      </c>
      <c r="X1" s="1">
        <v>46010</v>
      </c>
      <c r="Y1" s="1">
        <v>46011</v>
      </c>
      <c r="Z1" s="1">
        <v>46012</v>
      </c>
      <c r="AA1" s="1">
        <v>46013</v>
      </c>
      <c r="AB1" s="1">
        <v>46014</v>
      </c>
      <c r="AC1" s="1">
        <v>46015</v>
      </c>
      <c r="AD1" s="1">
        <v>46016</v>
      </c>
      <c r="AE1" s="1">
        <v>46017</v>
      </c>
      <c r="AF1" s="1">
        <v>46018</v>
      </c>
      <c r="AG1" s="1">
        <v>46019</v>
      </c>
      <c r="AH1" s="1">
        <v>46020</v>
      </c>
      <c r="AI1" s="1">
        <v>46021</v>
      </c>
      <c r="AJ1" s="1">
        <v>46022</v>
      </c>
    </row>
    <row r="2" spans="1:36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  <c r="AJ2" s="1" t="s">
        <v>9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6" t="s">
        <v>24</v>
      </c>
      <c r="H3" s="6" t="s">
        <v>24</v>
      </c>
      <c r="I3" s="6" t="s">
        <v>24</v>
      </c>
      <c r="J3" s="6" t="s">
        <v>24</v>
      </c>
      <c r="K3" s="7"/>
      <c r="L3" s="7"/>
      <c r="M3" s="6" t="s">
        <v>24</v>
      </c>
      <c r="N3" s="6" t="s">
        <v>24</v>
      </c>
      <c r="O3" s="4" t="s">
        <v>16</v>
      </c>
      <c r="P3" s="5" t="s">
        <v>17</v>
      </c>
      <c r="Q3" s="5" t="s">
        <v>17</v>
      </c>
      <c r="R3" s="7"/>
      <c r="S3" s="7"/>
      <c r="T3" s="6" t="s">
        <v>24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5" t="s">
        <v>17</v>
      </c>
      <c r="AB3" s="5" t="s">
        <v>17</v>
      </c>
      <c r="AC3" s="5" t="s">
        <v>17</v>
      </c>
      <c r="AD3" s="6" t="s">
        <v>28</v>
      </c>
      <c r="AE3" s="5" t="s">
        <v>17</v>
      </c>
      <c r="AF3" s="7"/>
      <c r="AG3" s="7"/>
      <c r="AH3" s="5" t="s">
        <v>17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4" t="s">
        <v>16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4" t="s">
        <v>16</v>
      </c>
      <c r="R4" s="7"/>
      <c r="S4" s="7"/>
      <c r="T4" s="4" t="s">
        <v>16</v>
      </c>
      <c r="U4" s="4" t="s">
        <v>16</v>
      </c>
      <c r="V4" s="5" t="s">
        <v>17</v>
      </c>
      <c r="W4" s="5" t="s">
        <v>17</v>
      </c>
      <c r="X4" s="5" t="s">
        <v>17</v>
      </c>
      <c r="Y4" s="7"/>
      <c r="Z4" s="7"/>
      <c r="AA4" s="6" t="s">
        <v>24</v>
      </c>
      <c r="AB4" s="6" t="s">
        <v>24</v>
      </c>
      <c r="AC4" s="6" t="s">
        <v>24</v>
      </c>
      <c r="AD4" s="6" t="s">
        <v>28</v>
      </c>
      <c r="AE4" s="6" t="s">
        <v>24</v>
      </c>
      <c r="AF4" s="7"/>
      <c r="AG4" s="7"/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5" t="s">
        <v>17</v>
      </c>
      <c r="AB5" s="5" t="s">
        <v>17</v>
      </c>
      <c r="AC5" s="5" t="s">
        <v>17</v>
      </c>
      <c r="AD5" s="6" t="s">
        <v>28</v>
      </c>
      <c r="AE5" s="5" t="s">
        <v>17</v>
      </c>
      <c r="AF5" s="7"/>
      <c r="AG5" s="7"/>
      <c r="AH5" s="5" t="s">
        <v>17</v>
      </c>
      <c r="AI5" s="5" t="s">
        <v>17</v>
      </c>
      <c r="AJ5" s="5" t="s">
        <v>17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4" t="s">
        <v>16</v>
      </c>
      <c r="J6" s="4" t="s">
        <v>16</v>
      </c>
      <c r="K6" s="7"/>
      <c r="L6" s="7"/>
      <c r="M6" s="4" t="s">
        <v>16</v>
      </c>
      <c r="N6" s="4" t="s">
        <v>16</v>
      </c>
      <c r="O6" s="6" t="s">
        <v>18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5" t="s">
        <v>17</v>
      </c>
      <c r="AB6" s="5" t="s">
        <v>17</v>
      </c>
      <c r="AC6" s="5" t="s">
        <v>17</v>
      </c>
      <c r="AD6" s="6" t="s">
        <v>28</v>
      </c>
      <c r="AE6" s="5" t="s">
        <v>17</v>
      </c>
      <c r="AF6" s="7"/>
      <c r="AG6" s="7"/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4</v>
      </c>
      <c r="C12" s="2">
        <f>COUNTIF(F3:AI3,"WFH")</f>
        <v>10</v>
      </c>
    </row>
    <row r="13" spans="1:36" x14ac:dyDescent="0.25">
      <c r="A13" s="2" t="s">
        <v>19</v>
      </c>
      <c r="B13" s="2">
        <f>COUNTIF(F4:AI4,"WFO")</f>
        <v>10</v>
      </c>
      <c r="C13" s="2">
        <f>COUNTIF(F4:AI4,"WFH")</f>
        <v>7</v>
      </c>
    </row>
    <row r="14" spans="1:36" x14ac:dyDescent="0.25">
      <c r="A14" s="2" t="s">
        <v>20</v>
      </c>
      <c r="B14" s="2">
        <f>COUNTIF(F5:AI5,"WFO")</f>
        <v>9</v>
      </c>
      <c r="C14" s="2">
        <f>COUNTIF(F5:AI5,"WFH")</f>
        <v>12</v>
      </c>
    </row>
    <row r="15" spans="1:36" x14ac:dyDescent="0.25">
      <c r="A15" s="2" t="s">
        <v>23</v>
      </c>
      <c r="B15" s="2">
        <f>COUNTIF(F6:AI6,"WFO")</f>
        <v>9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71A27-DC0F-4421-B295-A887695B49EA}">
  <dimension ref="A1:AJ15"/>
  <sheetViews>
    <sheetView workbookViewId="0">
      <selection activeCell="F5" sqref="F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46023</v>
      </c>
      <c r="G1" s="1">
        <v>46024</v>
      </c>
      <c r="H1" s="1">
        <v>46025</v>
      </c>
      <c r="I1" s="1">
        <v>46026</v>
      </c>
      <c r="J1" s="1">
        <v>46027</v>
      </c>
      <c r="K1" s="1">
        <v>46028</v>
      </c>
      <c r="L1" s="1">
        <v>46029</v>
      </c>
      <c r="M1" s="1">
        <v>46030</v>
      </c>
      <c r="N1" s="1">
        <v>46031</v>
      </c>
      <c r="O1" s="1">
        <v>46032</v>
      </c>
      <c r="P1" s="1">
        <v>46033</v>
      </c>
      <c r="Q1" s="1">
        <v>46034</v>
      </c>
      <c r="R1" s="1">
        <v>46035</v>
      </c>
      <c r="S1" s="1">
        <v>46036</v>
      </c>
      <c r="T1" s="1">
        <v>46037</v>
      </c>
      <c r="U1" s="1">
        <v>46038</v>
      </c>
      <c r="V1" s="1">
        <v>46039</v>
      </c>
      <c r="W1" s="1">
        <v>46040</v>
      </c>
      <c r="X1" s="1">
        <v>46041</v>
      </c>
      <c r="Y1" s="1">
        <v>46042</v>
      </c>
      <c r="Z1" s="1">
        <v>46043</v>
      </c>
      <c r="AA1" s="1">
        <v>46044</v>
      </c>
      <c r="AB1" s="1">
        <v>46045</v>
      </c>
      <c r="AC1" s="1">
        <v>46046</v>
      </c>
      <c r="AD1" s="1">
        <v>46047</v>
      </c>
      <c r="AE1" s="1">
        <v>46048</v>
      </c>
      <c r="AF1" s="1">
        <v>46049</v>
      </c>
      <c r="AG1" s="1">
        <v>46050</v>
      </c>
      <c r="AH1" s="1">
        <v>46051</v>
      </c>
      <c r="AI1" s="1">
        <v>46052</v>
      </c>
      <c r="AJ1" s="1">
        <v>46053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5" t="s">
        <v>17</v>
      </c>
      <c r="H3" s="7"/>
      <c r="I3" s="7"/>
      <c r="J3" s="4" t="s">
        <v>16</v>
      </c>
      <c r="K3" s="4" t="s">
        <v>16</v>
      </c>
      <c r="L3" s="5" t="s">
        <v>17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4" t="s">
        <v>16</v>
      </c>
      <c r="Z3" s="6" t="s">
        <v>24</v>
      </c>
      <c r="AA3" s="4" t="s">
        <v>16</v>
      </c>
      <c r="AB3" s="5" t="s">
        <v>17</v>
      </c>
      <c r="AC3" s="7"/>
      <c r="AD3" s="7"/>
      <c r="AE3" s="6" t="s">
        <v>28</v>
      </c>
      <c r="AF3" s="5" t="s">
        <v>17</v>
      </c>
      <c r="AG3" s="4" t="s">
        <v>16</v>
      </c>
      <c r="AH3" s="4" t="s">
        <v>16</v>
      </c>
      <c r="AI3" s="5" t="s">
        <v>17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6" t="s">
        <v>24</v>
      </c>
      <c r="H4" s="7"/>
      <c r="I4" s="7"/>
      <c r="J4" s="5" t="s">
        <v>17</v>
      </c>
      <c r="K4" s="5" t="s">
        <v>17</v>
      </c>
      <c r="L4" s="6" t="s">
        <v>24</v>
      </c>
      <c r="M4" s="6" t="s">
        <v>24</v>
      </c>
      <c r="N4" s="5" t="s">
        <v>17</v>
      </c>
      <c r="O4" s="7"/>
      <c r="P4" s="7"/>
      <c r="Q4" s="4" t="s">
        <v>16</v>
      </c>
      <c r="R4" s="5" t="s">
        <v>17</v>
      </c>
      <c r="S4" s="4" t="s">
        <v>16</v>
      </c>
      <c r="T4" s="4" t="s">
        <v>16</v>
      </c>
      <c r="U4" s="6" t="s">
        <v>24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6" t="s">
        <v>24</v>
      </c>
      <c r="AC4" s="7"/>
      <c r="AD4" s="7"/>
      <c r="AE4" s="6" t="s">
        <v>28</v>
      </c>
      <c r="AF4" s="4" t="s">
        <v>16</v>
      </c>
      <c r="AG4" s="4" t="s">
        <v>16</v>
      </c>
      <c r="AH4" s="4" t="s">
        <v>16</v>
      </c>
      <c r="AI4" s="4" t="s">
        <v>16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5" t="s">
        <v>17</v>
      </c>
      <c r="H5" s="7"/>
      <c r="I5" s="7"/>
      <c r="J5" s="4" t="s">
        <v>16</v>
      </c>
      <c r="K5" s="5" t="s">
        <v>17</v>
      </c>
      <c r="L5" s="5" t="s">
        <v>17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5" t="s">
        <v>17</v>
      </c>
      <c r="T5" s="4" t="s">
        <v>16</v>
      </c>
      <c r="U5" s="4" t="s">
        <v>16</v>
      </c>
      <c r="V5" s="7"/>
      <c r="W5" s="7"/>
      <c r="X5" s="4" t="s">
        <v>16</v>
      </c>
      <c r="Y5" s="4" t="s">
        <v>16</v>
      </c>
      <c r="Z5" s="4" t="s">
        <v>16</v>
      </c>
      <c r="AA5" s="5" t="s">
        <v>17</v>
      </c>
      <c r="AB5" s="5" t="s">
        <v>17</v>
      </c>
      <c r="AC5" s="7"/>
      <c r="AD5" s="7"/>
      <c r="AE5" s="6" t="s">
        <v>28</v>
      </c>
      <c r="AF5" s="4" t="s">
        <v>16</v>
      </c>
      <c r="AG5" s="6" t="s">
        <v>24</v>
      </c>
      <c r="AH5" s="4" t="s">
        <v>16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5" t="s">
        <v>17</v>
      </c>
      <c r="H6" s="7"/>
      <c r="I6" s="7"/>
      <c r="J6" s="4" t="s">
        <v>16</v>
      </c>
      <c r="K6" s="4" t="s">
        <v>16</v>
      </c>
      <c r="L6" s="4" t="s">
        <v>16</v>
      </c>
      <c r="M6" s="5" t="s">
        <v>17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5" t="s">
        <v>17</v>
      </c>
      <c r="U6" s="5" t="s">
        <v>17</v>
      </c>
      <c r="V6" s="7"/>
      <c r="W6" s="7"/>
      <c r="X6" s="4" t="s">
        <v>16</v>
      </c>
      <c r="Y6" s="4" t="s">
        <v>16</v>
      </c>
      <c r="Z6" s="4" t="s">
        <v>16</v>
      </c>
      <c r="AA6" s="5" t="s">
        <v>17</v>
      </c>
      <c r="AB6" s="5" t="s">
        <v>17</v>
      </c>
      <c r="AC6" s="7"/>
      <c r="AD6" s="7"/>
      <c r="AE6" s="6" t="s">
        <v>28</v>
      </c>
      <c r="AF6" s="4" t="s">
        <v>16</v>
      </c>
      <c r="AG6" s="4" t="s">
        <v>16</v>
      </c>
      <c r="AH6" s="6" t="s">
        <v>24</v>
      </c>
      <c r="AI6" s="5" t="s">
        <v>17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10</v>
      </c>
      <c r="C12" s="2">
        <f>COUNTIF(F3:AI3,"WFH")</f>
        <v>9</v>
      </c>
    </row>
    <row r="13" spans="1:36" x14ac:dyDescent="0.25">
      <c r="A13" s="2" t="s">
        <v>19</v>
      </c>
      <c r="B13" s="2">
        <f>COUNTIF(F4:AI4,"WFO")</f>
        <v>11</v>
      </c>
      <c r="C13" s="2">
        <f>COUNTIF(F4:AI4,"WFH")</f>
        <v>4</v>
      </c>
    </row>
    <row r="14" spans="1:36" x14ac:dyDescent="0.25">
      <c r="A14" s="2" t="s">
        <v>20</v>
      </c>
      <c r="B14" s="2">
        <f>COUNTIF(F5:AI5,"WFO")</f>
        <v>10</v>
      </c>
      <c r="C14" s="2">
        <f>COUNTIF(F5:AI5,"WFH")</f>
        <v>9</v>
      </c>
    </row>
    <row r="15" spans="1:36" x14ac:dyDescent="0.25">
      <c r="A15" s="2" t="s">
        <v>23</v>
      </c>
      <c r="B15" s="2">
        <f>COUNTIF(F6:AI6,"WFO")</f>
        <v>11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369-A483-4243-8B30-4AC8F8C2C920}">
  <dimension ref="A1:AG15"/>
  <sheetViews>
    <sheetView workbookViewId="0">
      <selection activeCell="J4" sqref="J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46054</v>
      </c>
      <c r="G1" s="1">
        <v>46055</v>
      </c>
      <c r="H1" s="1">
        <v>46056</v>
      </c>
      <c r="I1" s="1">
        <v>46057</v>
      </c>
      <c r="J1" s="1">
        <v>46058</v>
      </c>
      <c r="K1" s="1">
        <v>46059</v>
      </c>
      <c r="L1" s="1">
        <v>46060</v>
      </c>
      <c r="M1" s="1">
        <v>46061</v>
      </c>
      <c r="N1" s="1">
        <v>46062</v>
      </c>
      <c r="O1" s="1">
        <v>46063</v>
      </c>
      <c r="P1" s="1">
        <v>46064</v>
      </c>
      <c r="Q1" s="1">
        <v>46065</v>
      </c>
      <c r="R1" s="1">
        <v>46066</v>
      </c>
      <c r="S1" s="1">
        <v>46067</v>
      </c>
      <c r="T1" s="1">
        <v>46068</v>
      </c>
      <c r="U1" s="1">
        <v>46069</v>
      </c>
      <c r="V1" s="1">
        <v>46070</v>
      </c>
      <c r="W1" s="1">
        <v>46071</v>
      </c>
      <c r="X1" s="1">
        <v>46072</v>
      </c>
      <c r="Y1" s="1">
        <v>46073</v>
      </c>
      <c r="Z1" s="1">
        <v>46074</v>
      </c>
      <c r="AA1" s="1">
        <v>46075</v>
      </c>
      <c r="AB1" s="1">
        <v>46076</v>
      </c>
      <c r="AC1" s="1">
        <v>46077</v>
      </c>
      <c r="AD1" s="1">
        <v>46078</v>
      </c>
      <c r="AE1" s="1">
        <v>46079</v>
      </c>
      <c r="AF1" s="1">
        <v>46080</v>
      </c>
      <c r="AG1" s="1">
        <v>46081</v>
      </c>
    </row>
    <row r="2" spans="1:33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6" t="s">
        <v>18</v>
      </c>
      <c r="H3" s="6" t="s">
        <v>18</v>
      </c>
      <c r="I3" s="5" t="s">
        <v>17</v>
      </c>
      <c r="J3" s="4" t="s">
        <v>16</v>
      </c>
      <c r="K3" s="5" t="s">
        <v>17</v>
      </c>
      <c r="L3" s="7"/>
      <c r="M3" s="7"/>
      <c r="N3" s="4" t="s">
        <v>16</v>
      </c>
      <c r="O3" s="5" t="s">
        <v>17</v>
      </c>
      <c r="P3" s="5" t="s">
        <v>17</v>
      </c>
      <c r="Q3" s="5" t="s">
        <v>17</v>
      </c>
      <c r="R3" s="5" t="s">
        <v>17</v>
      </c>
      <c r="S3" s="7"/>
      <c r="T3" s="7"/>
      <c r="U3" s="4" t="s">
        <v>16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5" t="s">
        <v>17</v>
      </c>
      <c r="AD3" s="4" t="s">
        <v>16</v>
      </c>
      <c r="AE3" s="5" t="s">
        <v>17</v>
      </c>
      <c r="AF3" s="5" t="s">
        <v>17</v>
      </c>
      <c r="AG3" s="7"/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4" t="s">
        <v>16</v>
      </c>
      <c r="K4" s="4" t="s">
        <v>16</v>
      </c>
      <c r="L4" s="7"/>
      <c r="M4" s="7"/>
      <c r="N4" s="4" t="s">
        <v>16</v>
      </c>
      <c r="O4" s="5" t="s">
        <v>17</v>
      </c>
      <c r="P4" s="5" t="s">
        <v>17</v>
      </c>
      <c r="Q4" s="4" t="s">
        <v>16</v>
      </c>
      <c r="R4" s="4" t="s">
        <v>16</v>
      </c>
      <c r="S4" s="7"/>
      <c r="T4" s="7"/>
      <c r="U4" s="5" t="s">
        <v>17</v>
      </c>
      <c r="V4" s="5" t="s">
        <v>17</v>
      </c>
      <c r="W4" s="5" t="s">
        <v>17</v>
      </c>
      <c r="X4" s="5" t="s">
        <v>17</v>
      </c>
      <c r="Y4" s="5" t="s">
        <v>17</v>
      </c>
      <c r="Z4" s="7"/>
      <c r="AA4" s="7"/>
      <c r="AB4" s="5" t="s">
        <v>17</v>
      </c>
      <c r="AC4" s="5" t="s">
        <v>17</v>
      </c>
      <c r="AD4" s="5" t="s">
        <v>17</v>
      </c>
      <c r="AE4" s="5" t="s">
        <v>17</v>
      </c>
      <c r="AF4" s="5" t="s">
        <v>17</v>
      </c>
      <c r="AG4" s="7"/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6" t="s">
        <v>24</v>
      </c>
      <c r="H5" s="4" t="s">
        <v>16</v>
      </c>
      <c r="I5" s="4" t="s">
        <v>16</v>
      </c>
      <c r="J5" s="4" t="s">
        <v>16</v>
      </c>
      <c r="K5" s="5" t="s">
        <v>17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5" t="s">
        <v>17</v>
      </c>
      <c r="V5" s="4" t="s">
        <v>16</v>
      </c>
      <c r="W5" s="4" t="s">
        <v>16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5" t="s">
        <v>17</v>
      </c>
      <c r="AG5" s="7"/>
    </row>
    <row r="6" spans="1:33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5" t="s">
        <v>17</v>
      </c>
      <c r="H6" s="5" t="s">
        <v>17</v>
      </c>
      <c r="I6" s="5" t="s">
        <v>17</v>
      </c>
      <c r="J6" s="5" t="s">
        <v>17</v>
      </c>
      <c r="K6" s="5" t="s">
        <v>17</v>
      </c>
      <c r="L6" s="7"/>
      <c r="M6" s="7"/>
      <c r="N6" s="5" t="s">
        <v>17</v>
      </c>
      <c r="O6" s="5" t="s">
        <v>17</v>
      </c>
      <c r="P6" s="5" t="s">
        <v>17</v>
      </c>
      <c r="Q6" s="5" t="s">
        <v>17</v>
      </c>
      <c r="R6" s="5" t="s">
        <v>17</v>
      </c>
      <c r="S6" s="7"/>
      <c r="T6" s="7"/>
      <c r="U6" s="5" t="s">
        <v>17</v>
      </c>
      <c r="V6" s="5" t="s">
        <v>17</v>
      </c>
      <c r="W6" s="5" t="s">
        <v>17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6" t="s">
        <v>18</v>
      </c>
      <c r="AG6" s="7"/>
    </row>
    <row r="7" spans="1:33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</row>
    <row r="11" spans="1:33" x14ac:dyDescent="0.25">
      <c r="A11" s="9" t="s">
        <v>1</v>
      </c>
      <c r="B11" s="2" t="s">
        <v>27</v>
      </c>
      <c r="C11" s="2" t="s">
        <v>26</v>
      </c>
    </row>
    <row r="12" spans="1:33" x14ac:dyDescent="0.25">
      <c r="A12" s="2" t="s">
        <v>12</v>
      </c>
      <c r="B12" s="2">
        <f>COUNTIF(F3:AG3,"WFO")</f>
        <v>7</v>
      </c>
      <c r="C12" s="2">
        <f>COUNTIF(F3:AG3,"WFH")</f>
        <v>11</v>
      </c>
    </row>
    <row r="13" spans="1:33" x14ac:dyDescent="0.25">
      <c r="A13" s="2" t="s">
        <v>19</v>
      </c>
      <c r="B13" s="2">
        <f>COUNTIF(F4:AG4,"WFO")</f>
        <v>8</v>
      </c>
      <c r="C13" s="2">
        <f>COUNTIF(F4:AG4,"WFH")</f>
        <v>12</v>
      </c>
    </row>
    <row r="14" spans="1:33" x14ac:dyDescent="0.25">
      <c r="A14" s="2" t="s">
        <v>20</v>
      </c>
      <c r="B14" s="2">
        <f>COUNTIF(F5:AG5,"WFO")</f>
        <v>11</v>
      </c>
      <c r="C14" s="2">
        <f>COUNTIF(F5:AG5,"WFH")</f>
        <v>8</v>
      </c>
    </row>
    <row r="15" spans="1:33" x14ac:dyDescent="0.25">
      <c r="A15" s="2" t="s">
        <v>23</v>
      </c>
      <c r="B15" s="2">
        <f>COUNTIF(F6:AG6,"WFO")</f>
        <v>3</v>
      </c>
      <c r="C15" s="2">
        <f>COUNTIF(F6:AG6,"WFH")</f>
        <v>16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154BF-0805-461D-B9A5-E64EDBF4FEB9}">
  <dimension ref="A1:AJ15"/>
  <sheetViews>
    <sheetView workbookViewId="0">
      <selection activeCell="I5" sqref="I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46082</v>
      </c>
      <c r="G1" s="1">
        <v>46083</v>
      </c>
      <c r="H1" s="1">
        <v>46084</v>
      </c>
      <c r="I1" s="1">
        <v>46085</v>
      </c>
      <c r="J1" s="1">
        <v>46086</v>
      </c>
      <c r="K1" s="1">
        <v>46087</v>
      </c>
      <c r="L1" s="1">
        <v>46088</v>
      </c>
      <c r="M1" s="1">
        <v>46089</v>
      </c>
      <c r="N1" s="1">
        <v>46090</v>
      </c>
      <c r="O1" s="1">
        <v>46091</v>
      </c>
      <c r="P1" s="1">
        <v>46092</v>
      </c>
      <c r="Q1" s="1">
        <v>46093</v>
      </c>
      <c r="R1" s="1">
        <v>46094</v>
      </c>
      <c r="S1" s="1">
        <v>46095</v>
      </c>
      <c r="T1" s="1">
        <v>46096</v>
      </c>
      <c r="U1" s="1">
        <v>46097</v>
      </c>
      <c r="V1" s="1">
        <v>46098</v>
      </c>
      <c r="W1" s="1">
        <v>46099</v>
      </c>
      <c r="X1" s="1">
        <v>46100</v>
      </c>
      <c r="Y1" s="1">
        <v>46101</v>
      </c>
      <c r="Z1" s="1">
        <v>46102</v>
      </c>
      <c r="AA1" s="1">
        <v>46103</v>
      </c>
      <c r="AB1" s="1">
        <v>46104</v>
      </c>
      <c r="AC1" s="1">
        <v>46105</v>
      </c>
      <c r="AD1" s="1">
        <v>46106</v>
      </c>
      <c r="AE1" s="1">
        <v>46107</v>
      </c>
      <c r="AF1" s="1">
        <v>46108</v>
      </c>
      <c r="AG1" s="1">
        <v>46109</v>
      </c>
      <c r="AH1" s="1">
        <v>46110</v>
      </c>
      <c r="AI1" s="1">
        <v>46111</v>
      </c>
      <c r="AJ1" s="1">
        <v>46112</v>
      </c>
    </row>
    <row r="2" spans="1:36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  <c r="AJ2" s="1" t="s">
        <v>8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6" t="s">
        <v>24</v>
      </c>
      <c r="Y3" s="5" t="s">
        <v>17</v>
      </c>
      <c r="Z3" s="7"/>
      <c r="AA3" s="7"/>
      <c r="AB3" s="4" t="s">
        <v>16</v>
      </c>
      <c r="AC3" s="4" t="s">
        <v>16</v>
      </c>
      <c r="AD3" s="4" t="s">
        <v>16</v>
      </c>
      <c r="AE3" s="4" t="s">
        <v>16</v>
      </c>
      <c r="AF3" s="5" t="s">
        <v>17</v>
      </c>
      <c r="AG3" s="7"/>
      <c r="AH3" s="7"/>
      <c r="AI3" s="4" t="s">
        <v>16</v>
      </c>
      <c r="AJ3" s="6" t="s">
        <v>18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6" t="s">
        <v>24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6" t="s">
        <v>24</v>
      </c>
      <c r="Z4" s="7"/>
      <c r="AA4" s="7"/>
      <c r="AB4" s="4" t="s">
        <v>16</v>
      </c>
      <c r="AC4" s="4" t="s">
        <v>16</v>
      </c>
      <c r="AD4" s="4" t="s">
        <v>16</v>
      </c>
      <c r="AE4" s="4" t="s">
        <v>16</v>
      </c>
      <c r="AF4" s="5" t="s">
        <v>17</v>
      </c>
      <c r="AG4" s="7"/>
      <c r="AH4" s="7"/>
      <c r="AI4" s="4" t="s">
        <v>16</v>
      </c>
      <c r="AJ4" s="4" t="s">
        <v>16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4" t="s">
        <v>16</v>
      </c>
      <c r="I5" s="5" t="s">
        <v>17</v>
      </c>
      <c r="J5" s="4" t="s">
        <v>16</v>
      </c>
      <c r="K5" s="5" t="s">
        <v>17</v>
      </c>
      <c r="L5" s="7"/>
      <c r="M5" s="7"/>
      <c r="N5" s="4" t="s">
        <v>16</v>
      </c>
      <c r="O5" s="6" t="s">
        <v>24</v>
      </c>
      <c r="P5" s="4" t="s">
        <v>16</v>
      </c>
      <c r="Q5" s="5" t="s">
        <v>17</v>
      </c>
      <c r="R5" s="5" t="s">
        <v>17</v>
      </c>
      <c r="S5" s="7"/>
      <c r="T5" s="7"/>
      <c r="U5" s="4" t="s">
        <v>16</v>
      </c>
      <c r="V5" s="5" t="s">
        <v>17</v>
      </c>
      <c r="W5" s="4" t="s">
        <v>16</v>
      </c>
      <c r="X5" s="5" t="s">
        <v>17</v>
      </c>
      <c r="Y5" s="5" t="s">
        <v>17</v>
      </c>
      <c r="Z5" s="7"/>
      <c r="AA5" s="7"/>
      <c r="AB5" s="4" t="s">
        <v>16</v>
      </c>
      <c r="AC5" s="4" t="s">
        <v>16</v>
      </c>
      <c r="AD5" s="4" t="s">
        <v>16</v>
      </c>
      <c r="AE5" s="4" t="s">
        <v>16</v>
      </c>
      <c r="AF5" s="5" t="s">
        <v>17</v>
      </c>
      <c r="AG5" s="7"/>
      <c r="AH5" s="7"/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5" t="s">
        <v>17</v>
      </c>
      <c r="J6" s="4" t="s">
        <v>16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6" t="s">
        <v>18</v>
      </c>
      <c r="R6" s="4" t="s">
        <v>16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5" t="s">
        <v>17</v>
      </c>
      <c r="AD6" s="4" t="s">
        <v>16</v>
      </c>
      <c r="AE6" s="4" t="s">
        <v>16</v>
      </c>
      <c r="AF6" s="5" t="s">
        <v>17</v>
      </c>
      <c r="AG6" s="7"/>
      <c r="AH6" s="7"/>
      <c r="AI6" s="4" t="s">
        <v>16</v>
      </c>
      <c r="AJ6" s="4" t="s">
        <v>16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COUNTIF(F3:AG3,"WFH")</f>
        <v>6</v>
      </c>
    </row>
    <row r="13" spans="1:36" x14ac:dyDescent="0.25">
      <c r="A13" s="2" t="s">
        <v>19</v>
      </c>
      <c r="B13" s="2">
        <f>COUNTIF(F4:AJ4,"WFO")</f>
        <v>15</v>
      </c>
      <c r="C13" s="2">
        <f>COUNTIF(F4:AG4,"WFH")</f>
        <v>5</v>
      </c>
    </row>
    <row r="14" spans="1:36" x14ac:dyDescent="0.25">
      <c r="A14" s="2" t="s">
        <v>20</v>
      </c>
      <c r="B14" s="2">
        <f>COUNTIF(F5:AJ5,"WFO")</f>
        <v>12</v>
      </c>
      <c r="C14" s="2">
        <f>COUNTIF(F5:AG5,"WFH")</f>
        <v>8</v>
      </c>
    </row>
    <row r="15" spans="1:36" x14ac:dyDescent="0.25">
      <c r="A15" s="2" t="s">
        <v>23</v>
      </c>
      <c r="B15" s="2">
        <f>COUNTIF(F6:AJ6,"WFO")</f>
        <v>15</v>
      </c>
      <c r="C15" s="2">
        <f>COUNTIF(F6:AG6,"WFH")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30E33-32AF-452B-AEB5-3A35260DB102}">
  <dimension ref="A1:AI15"/>
  <sheetViews>
    <sheetView topLeftCell="I1" workbookViewId="0">
      <selection activeCell="U4" sqref="U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5" width="9.71093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46113</v>
      </c>
      <c r="G1" s="1">
        <v>46114</v>
      </c>
      <c r="H1" s="1">
        <v>46115</v>
      </c>
      <c r="I1" s="1">
        <v>46116</v>
      </c>
      <c r="J1" s="1">
        <v>46117</v>
      </c>
      <c r="K1" s="1">
        <v>46118</v>
      </c>
      <c r="L1" s="1">
        <v>46119</v>
      </c>
      <c r="M1" s="1">
        <v>46120</v>
      </c>
      <c r="N1" s="1">
        <v>46121</v>
      </c>
      <c r="O1" s="1">
        <v>46122</v>
      </c>
      <c r="P1" s="1">
        <v>46123</v>
      </c>
      <c r="Q1" s="1">
        <v>46124</v>
      </c>
      <c r="R1" s="1">
        <v>46125</v>
      </c>
      <c r="S1" s="1">
        <v>46126</v>
      </c>
      <c r="T1" s="1">
        <v>46127</v>
      </c>
      <c r="U1" s="1">
        <v>46128</v>
      </c>
      <c r="V1" s="1">
        <v>46129</v>
      </c>
      <c r="W1" s="1">
        <v>46130</v>
      </c>
      <c r="X1" s="1">
        <v>46131</v>
      </c>
      <c r="Y1" s="1">
        <v>46132</v>
      </c>
      <c r="Z1" s="1">
        <v>46133</v>
      </c>
      <c r="AA1" s="1">
        <v>46134</v>
      </c>
      <c r="AB1" s="1">
        <v>46135</v>
      </c>
      <c r="AC1" s="1">
        <v>46136</v>
      </c>
      <c r="AD1" s="1">
        <v>46137</v>
      </c>
      <c r="AE1" s="1">
        <v>46138</v>
      </c>
      <c r="AF1" s="1">
        <v>46139</v>
      </c>
      <c r="AG1" s="1">
        <v>46140</v>
      </c>
      <c r="AH1" s="1">
        <v>46141</v>
      </c>
      <c r="AI1" s="1">
        <v>46142</v>
      </c>
    </row>
    <row r="2" spans="1:35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7"/>
      <c r="J4" s="7"/>
      <c r="K4" s="5" t="s">
        <v>17</v>
      </c>
      <c r="L4" s="5" t="s">
        <v>17</v>
      </c>
      <c r="M4" s="5" t="s">
        <v>17</v>
      </c>
      <c r="N4" s="5" t="s">
        <v>17</v>
      </c>
      <c r="O4" s="6" t="s">
        <v>24</v>
      </c>
      <c r="P4" s="7"/>
      <c r="Q4" s="7"/>
      <c r="R4" s="4" t="s">
        <v>16</v>
      </c>
      <c r="S4" s="4" t="s">
        <v>16</v>
      </c>
      <c r="T4" s="4" t="s">
        <v>16</v>
      </c>
      <c r="U4" s="5" t="s">
        <v>17</v>
      </c>
      <c r="V4" s="4" t="s">
        <v>16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5" t="s">
        <v>17</v>
      </c>
      <c r="N5" s="4" t="s">
        <v>16</v>
      </c>
      <c r="O5" s="5" t="s">
        <v>17</v>
      </c>
      <c r="P5" s="7"/>
      <c r="Q5" s="7"/>
      <c r="R5" s="4" t="s">
        <v>16</v>
      </c>
      <c r="S5" s="4" t="s">
        <v>16</v>
      </c>
      <c r="T5" s="5" t="s">
        <v>17</v>
      </c>
      <c r="U5" s="4" t="s">
        <v>16</v>
      </c>
      <c r="V5" s="5" t="s">
        <v>17</v>
      </c>
      <c r="W5" s="7"/>
      <c r="X5" s="7"/>
      <c r="Y5" s="4" t="s">
        <v>16</v>
      </c>
      <c r="Z5" s="4" t="s">
        <v>16</v>
      </c>
      <c r="AA5" s="5" t="s">
        <v>17</v>
      </c>
      <c r="AB5" s="4" t="s">
        <v>16</v>
      </c>
      <c r="AC5" s="5" t="s">
        <v>17</v>
      </c>
      <c r="AD5" s="7"/>
      <c r="AE5" s="7"/>
      <c r="AF5" s="4" t="s">
        <v>16</v>
      </c>
      <c r="AG5" s="4" t="s">
        <v>16</v>
      </c>
      <c r="AH5" s="5" t="s">
        <v>17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7"/>
      <c r="J6" s="7"/>
      <c r="K6" s="4" t="s">
        <v>16</v>
      </c>
      <c r="L6" s="4" t="s">
        <v>16</v>
      </c>
      <c r="M6" s="5" t="s">
        <v>17</v>
      </c>
      <c r="N6" s="4" t="s">
        <v>16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6" t="s">
        <v>18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6" t="s">
        <v>24</v>
      </c>
      <c r="AD6" s="7"/>
      <c r="AE6" s="7"/>
      <c r="AF6" s="6" t="s">
        <v>24</v>
      </c>
      <c r="AG6" s="6" t="s">
        <v>24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COUNTIF(F3:AG3,"WFH")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COUNTIF(F4:AG4,"WFH")</f>
        <v>8</v>
      </c>
    </row>
    <row r="14" spans="1:35" x14ac:dyDescent="0.25">
      <c r="A14" s="2" t="s">
        <v>20</v>
      </c>
      <c r="B14" s="2">
        <f>COUNTIF(F5:AI5,"WFO")</f>
        <v>12</v>
      </c>
      <c r="C14" s="2">
        <f>COUNTIF(F5:AG5,"WFH")</f>
        <v>8</v>
      </c>
    </row>
    <row r="15" spans="1:35" x14ac:dyDescent="0.25">
      <c r="A15" s="2" t="s">
        <v>23</v>
      </c>
      <c r="B15" s="2">
        <f>COUNTIF(F6:AI6,"WFO")</f>
        <v>11</v>
      </c>
      <c r="C15" s="2">
        <f>COUNTIF(F6:AG6,"WFH")</f>
        <v>4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A7DA3-001B-413F-BA22-DC9827945C1D}">
  <dimension ref="A1:AJ15"/>
  <sheetViews>
    <sheetView tabSelected="1" workbookViewId="0">
      <selection activeCell="O11" sqref="O11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5703125" bestFit="1" customWidth="1"/>
    <col min="7" max="7" width="8.85546875" bestFit="1" customWidth="1"/>
    <col min="8" max="10" width="8.42578125" bestFit="1" customWidth="1"/>
    <col min="11" max="11" width="11.5703125" bestFit="1" customWidth="1"/>
    <col min="13" max="13" width="8.42578125" bestFit="1" customWidth="1"/>
    <col min="14" max="14" width="8.85546875" bestFit="1" customWidth="1"/>
    <col min="15" max="17" width="9.42578125" bestFit="1" customWidth="1"/>
    <col min="18" max="18" width="11.5703125" bestFit="1" customWidth="1"/>
    <col min="19" max="24" width="9.42578125" bestFit="1" customWidth="1"/>
    <col min="25" max="25" width="11.5703125" bestFit="1" customWidth="1"/>
    <col min="26" max="31" width="9.42578125" bestFit="1" customWidth="1"/>
    <col min="32" max="32" width="11.5703125" bestFit="1" customWidth="1"/>
    <col min="33" max="36" width="9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46143</v>
      </c>
      <c r="G1" s="1">
        <v>46144</v>
      </c>
      <c r="H1" s="1">
        <v>46145</v>
      </c>
      <c r="I1" s="1">
        <v>46146</v>
      </c>
      <c r="J1" s="1">
        <v>46147</v>
      </c>
      <c r="K1" s="1">
        <v>46148</v>
      </c>
      <c r="L1" s="1">
        <v>46149</v>
      </c>
      <c r="M1" s="1">
        <v>46150</v>
      </c>
      <c r="N1" s="1">
        <v>46151</v>
      </c>
      <c r="O1" s="1">
        <v>46152</v>
      </c>
      <c r="P1" s="1">
        <v>46153</v>
      </c>
      <c r="Q1" s="1">
        <v>46154</v>
      </c>
      <c r="R1" s="1">
        <v>46155</v>
      </c>
      <c r="S1" s="1">
        <v>46156</v>
      </c>
      <c r="T1" s="1">
        <v>46157</v>
      </c>
      <c r="U1" s="1">
        <v>46158</v>
      </c>
      <c r="V1" s="1">
        <v>46159</v>
      </c>
      <c r="W1" s="1">
        <v>46160</v>
      </c>
      <c r="X1" s="1">
        <v>46161</v>
      </c>
      <c r="Y1" s="1">
        <v>46162</v>
      </c>
      <c r="Z1" s="1">
        <v>46163</v>
      </c>
      <c r="AA1" s="1">
        <v>46164</v>
      </c>
      <c r="AB1" s="1">
        <v>46165</v>
      </c>
      <c r="AC1" s="1">
        <v>46166</v>
      </c>
      <c r="AD1" s="1">
        <v>46167</v>
      </c>
      <c r="AE1" s="1">
        <v>46168</v>
      </c>
      <c r="AF1" s="1">
        <v>46169</v>
      </c>
      <c r="AG1" s="1">
        <v>46170</v>
      </c>
      <c r="AH1" s="1">
        <v>46171</v>
      </c>
      <c r="AI1" s="1">
        <v>46172</v>
      </c>
      <c r="AJ1" s="1">
        <v>46173</v>
      </c>
    </row>
    <row r="2" spans="1:36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7"/>
      <c r="H3" s="7"/>
      <c r="I3" s="6" t="s">
        <v>24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4" t="s">
        <v>16</v>
      </c>
      <c r="Q3" s="2"/>
      <c r="R3" s="2"/>
      <c r="S3" s="2"/>
      <c r="T3" s="2"/>
      <c r="U3" s="7"/>
      <c r="V3" s="7"/>
      <c r="W3" s="2"/>
      <c r="X3" s="2"/>
      <c r="Y3" s="2"/>
      <c r="Z3" s="2"/>
      <c r="AA3" s="2"/>
      <c r="AB3" s="7"/>
      <c r="AC3" s="7"/>
      <c r="AD3" s="2"/>
      <c r="AE3" s="2"/>
      <c r="AF3" s="2"/>
      <c r="AG3" s="2"/>
      <c r="AH3" s="2"/>
      <c r="AI3" s="7"/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7"/>
      <c r="H4" s="7"/>
      <c r="I4" s="4" t="s">
        <v>16</v>
      </c>
      <c r="J4" s="4" t="s">
        <v>16</v>
      </c>
      <c r="K4" s="4" t="s">
        <v>16</v>
      </c>
      <c r="L4" s="5" t="s">
        <v>17</v>
      </c>
      <c r="M4" s="4" t="s">
        <v>16</v>
      </c>
      <c r="N4" s="7"/>
      <c r="O4" s="7"/>
      <c r="P4" s="4" t="s">
        <v>16</v>
      </c>
      <c r="Q4" s="2"/>
      <c r="R4" s="2"/>
      <c r="S4" s="2"/>
      <c r="T4" s="2"/>
      <c r="U4" s="7"/>
      <c r="V4" s="7"/>
      <c r="W4" s="2"/>
      <c r="X4" s="2"/>
      <c r="Y4" s="2"/>
      <c r="Z4" s="2"/>
      <c r="AA4" s="2"/>
      <c r="AB4" s="7"/>
      <c r="AC4" s="7"/>
      <c r="AD4" s="2"/>
      <c r="AE4" s="2"/>
      <c r="AF4" s="2"/>
      <c r="AG4" s="2"/>
      <c r="AH4" s="2"/>
      <c r="AI4" s="7"/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7"/>
      <c r="H5" s="7"/>
      <c r="I5" s="4" t="s">
        <v>16</v>
      </c>
      <c r="J5" s="4" t="s">
        <v>16</v>
      </c>
      <c r="K5" s="5" t="s">
        <v>17</v>
      </c>
      <c r="L5" s="4" t="s">
        <v>16</v>
      </c>
      <c r="M5" s="5" t="s">
        <v>17</v>
      </c>
      <c r="N5" s="7"/>
      <c r="O5" s="7"/>
      <c r="P5" s="6" t="s">
        <v>24</v>
      </c>
      <c r="Q5" s="6" t="s">
        <v>24</v>
      </c>
      <c r="R5" s="6" t="s">
        <v>24</v>
      </c>
      <c r="S5" s="6" t="s">
        <v>24</v>
      </c>
      <c r="T5" s="6" t="s">
        <v>24</v>
      </c>
      <c r="U5" s="7"/>
      <c r="V5" s="7"/>
      <c r="W5" s="2"/>
      <c r="X5" s="2"/>
      <c r="Y5" s="2"/>
      <c r="Z5" s="2"/>
      <c r="AA5" s="2"/>
      <c r="AB5" s="7"/>
      <c r="AC5" s="7"/>
      <c r="AD5" s="2"/>
      <c r="AE5" s="2"/>
      <c r="AF5" s="2"/>
      <c r="AG5" s="2"/>
      <c r="AH5" s="2"/>
      <c r="AI5" s="7"/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7"/>
      <c r="H6" s="7"/>
      <c r="I6" s="4" t="s">
        <v>16</v>
      </c>
      <c r="J6" s="4" t="s">
        <v>16</v>
      </c>
      <c r="K6" s="4" t="s">
        <v>16</v>
      </c>
      <c r="L6" s="5" t="s">
        <v>17</v>
      </c>
      <c r="M6" s="5" t="s">
        <v>17</v>
      </c>
      <c r="N6" s="7"/>
      <c r="O6" s="7"/>
      <c r="P6" s="4" t="s">
        <v>16</v>
      </c>
      <c r="Q6" s="2"/>
      <c r="R6" s="2"/>
      <c r="S6" s="2"/>
      <c r="T6" s="2"/>
      <c r="U6" s="7"/>
      <c r="V6" s="7"/>
      <c r="W6" s="2"/>
      <c r="X6" s="2"/>
      <c r="Y6" s="2"/>
      <c r="Z6" s="2"/>
      <c r="AA6" s="2"/>
      <c r="AB6" s="7"/>
      <c r="AC6" s="7"/>
      <c r="AD6" s="2"/>
      <c r="AE6" s="2"/>
      <c r="AF6" s="2"/>
      <c r="AG6" s="2"/>
      <c r="AH6" s="2"/>
      <c r="AI6" s="7"/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7"/>
      <c r="AJ7" s="7"/>
    </row>
    <row r="11" spans="1:36" ht="45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3</v>
      </c>
      <c r="C12" s="2">
        <f>COUNTIF(F3:AG3,"WFH")</f>
        <v>2</v>
      </c>
    </row>
    <row r="13" spans="1:36" x14ac:dyDescent="0.25">
      <c r="A13" s="2" t="s">
        <v>19</v>
      </c>
      <c r="B13" s="2">
        <f>COUNTIF(F4:AI4,"WFO")</f>
        <v>5</v>
      </c>
      <c r="C13" s="2">
        <f>COUNTIF(F4:AG4,"WFH")</f>
        <v>1</v>
      </c>
    </row>
    <row r="14" spans="1:36" x14ac:dyDescent="0.25">
      <c r="A14" s="2" t="s">
        <v>20</v>
      </c>
      <c r="B14" s="2">
        <f>COUNTIF(F5:AI5,"WFO")</f>
        <v>3</v>
      </c>
      <c r="C14" s="2">
        <f>COUNTIF(F5:AG5,"WFH")</f>
        <v>2</v>
      </c>
    </row>
    <row r="15" spans="1:36" x14ac:dyDescent="0.25">
      <c r="A15" s="2" t="s">
        <v>23</v>
      </c>
      <c r="B15" s="2">
        <f>COUNTIF(F6:AI6,"WFO")</f>
        <v>4</v>
      </c>
      <c r="C15" s="2">
        <f>COUNTIF(F6:AG6,"WFH")</f>
        <v>2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UV-WMS Admin Jan 2025</vt:lpstr>
      <vt:lpstr>UV-WMS Admin Feb 2025</vt:lpstr>
      <vt:lpstr>UV-WMS Admin March 2025</vt:lpstr>
      <vt:lpstr>UV-WMS Admin April 2025</vt:lpstr>
      <vt:lpstr>UV-WMS Admin May 2025</vt:lpstr>
      <vt:lpstr>UV-WMS Admin June 2025</vt:lpstr>
      <vt:lpstr>UV-WMS Admin July 2025</vt:lpstr>
      <vt:lpstr>UV-WMS Admin August 2025</vt:lpstr>
      <vt:lpstr>UV-WMS Admin September 2025</vt:lpstr>
      <vt:lpstr>UV-WMS Admin October 2025</vt:lpstr>
      <vt:lpstr>UV-WMS Admin November 2025</vt:lpstr>
      <vt:lpstr>UV-WMS Admin December 2025</vt:lpstr>
      <vt:lpstr>UV-WMS Admin January 2026</vt:lpstr>
      <vt:lpstr>UV-WMS Admin February 2026</vt:lpstr>
      <vt:lpstr>UV-WMS Admin March 2026</vt:lpstr>
      <vt:lpstr>UV-WMS Admin April 2026</vt:lpstr>
      <vt:lpstr>UV-WMS Admin May 2026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2026-05-11T16:05:53Z</dcterms:modified>
  <cp:category/>
  <cp:contentStatus/>
</cp:coreProperties>
</file>