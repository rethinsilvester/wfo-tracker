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CE5CC5AA-F4AE-47C3-9ABC-025036633A05}" xr6:coauthVersionLast="47" xr6:coauthVersionMax="47" xr10:uidLastSave="{00000000-0000-0000-0000-000000000000}"/>
  <bookViews>
    <workbookView xWindow="-57720" yWindow="-120" windowWidth="29040" windowHeight="15720" firstSheet="19" activeTab="22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  <sheet name="UV-WMS Admin July 2026" sheetId="19" r:id="rId19"/>
    <sheet name="UV-WMS Admin Aug 2026" sheetId="20" r:id="rId20"/>
    <sheet name="UV-WMS Admin Sep 2026" sheetId="21" r:id="rId21"/>
    <sheet name="UV-WMS Admin Oct 2026" sheetId="22" r:id="rId22"/>
    <sheet name="UV-WMS Admin Nov 2026" sheetId="23" r:id="rId23"/>
    <sheet name="UV-WMS Admin Dec 2026" sheetId="25" r:id="rId2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25" l="1"/>
  <c r="B19" i="25"/>
  <c r="C18" i="25"/>
  <c r="B18" i="25"/>
  <c r="C17" i="25"/>
  <c r="B17" i="25"/>
  <c r="C16" i="25"/>
  <c r="B16" i="25"/>
  <c r="C15" i="25"/>
  <c r="B15" i="25"/>
  <c r="C14" i="25"/>
  <c r="B14" i="25"/>
  <c r="C19" i="23"/>
  <c r="B19" i="23"/>
  <c r="C18" i="23"/>
  <c r="B18" i="23"/>
  <c r="C17" i="23"/>
  <c r="B17" i="23"/>
  <c r="C16" i="23"/>
  <c r="B16" i="23"/>
  <c r="C15" i="23"/>
  <c r="B15" i="23"/>
  <c r="C14" i="23"/>
  <c r="B14" i="23"/>
  <c r="C18" i="21"/>
  <c r="B18" i="21"/>
  <c r="C17" i="21"/>
  <c r="B17" i="21"/>
  <c r="C16" i="21"/>
  <c r="B16" i="21"/>
  <c r="C15" i="21"/>
  <c r="B15" i="21"/>
  <c r="C14" i="21"/>
  <c r="B14" i="21"/>
  <c r="C13" i="21"/>
  <c r="B13" i="21"/>
  <c r="C17" i="22"/>
  <c r="B17" i="22"/>
  <c r="C15" i="22"/>
  <c r="C14" i="22"/>
  <c r="B15" i="22"/>
  <c r="B14" i="22"/>
  <c r="B16" i="22"/>
  <c r="B19" i="22"/>
  <c r="C19" i="22"/>
  <c r="C18" i="22"/>
  <c r="B18" i="22"/>
  <c r="C16" i="22"/>
  <c r="B14" i="20"/>
  <c r="B13" i="20"/>
  <c r="C15" i="20"/>
  <c r="B15" i="20"/>
  <c r="C14" i="20"/>
  <c r="C13" i="20"/>
  <c r="C15" i="19"/>
  <c r="B15" i="19"/>
  <c r="C14" i="19"/>
  <c r="B14" i="19"/>
  <c r="C13" i="19"/>
  <c r="B13" i="19"/>
  <c r="C11" i="18"/>
  <c r="B11" i="18"/>
  <c r="C12" i="18"/>
  <c r="B12" i="18"/>
  <c r="C13" i="18"/>
  <c r="B13" i="18"/>
  <c r="C12" i="17"/>
  <c r="B12" i="17"/>
  <c r="C11" i="17"/>
  <c r="B11" i="17"/>
  <c r="C10" i="17"/>
  <c r="B10" i="17"/>
  <c r="B12" i="16"/>
  <c r="C12" i="16"/>
  <c r="C11" i="16"/>
  <c r="B11" i="16"/>
  <c r="C10" i="16"/>
  <c r="B10" i="16"/>
  <c r="B11" i="15"/>
  <c r="B10" i="15"/>
  <c r="B12" i="15"/>
  <c r="C12" i="15"/>
  <c r="C11" i="15"/>
  <c r="C10" i="15"/>
  <c r="C12" i="14"/>
  <c r="B12" i="14"/>
  <c r="C11" i="14"/>
  <c r="B11" i="14"/>
  <c r="C10" i="14"/>
  <c r="B10" i="14"/>
  <c r="C13" i="13"/>
  <c r="B13" i="13"/>
  <c r="C12" i="13"/>
  <c r="B12" i="13"/>
  <c r="C11" i="13"/>
  <c r="B11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<sst xmlns="http://schemas.openxmlformats.org/spreadsheetml/2006/main" count="3444" uniqueCount="34">
  <si>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</si>
  <si>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</si>
  <si>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</si>
  <si>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</si>
  <si>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</si>
  <si>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</si>
  <si>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</si>
  <si>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</si>
  <si>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</si>
  <si>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</si>
  <si>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</si>
  <si>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</si>
  <si>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</si>
  <si>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</si>
  <si>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</si>
  <si>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</si>
  <si>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</si>
  <si>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</si>
  <si>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</si>
  <si>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</si>
  <si>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</si>
  <si>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</si>
  <si>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</si>
  <si>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</si>
  <si>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</si>
  <si>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</si>
  <si>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</si>
  <si>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</si>
  <si>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</si>
  <si>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</si>
  <si>
    <t>Anuj</t>
  </si>
  <si>
    <t>Pradeep S</t>
  </si>
  <si>
    <t>Holiday</t>
  </si>
  <si>
    <t>Ashish Chudaman Nagrikar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</si>
</sst>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6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63" priority="1" operator="lessThan">
      <formula>12</formula>
    </cfRule>
    <cfRule type="cellIs" dxfId="62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61" priority="1" operator="lessThan">
      <formula>12</formula>
    </cfRule>
    <cfRule type="cellIs" dxfId="60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59" priority="2" operator="greaterThan">
      <formula>12</formula>
    </cfRule>
    <cfRule type="cellIs" dxfId="58" priority="4" operator="lessThan">
      <formula>12</formula>
    </cfRule>
  </conditionalFormatting>
  <conditionalFormatting sqref="B12:B14">
    <cfRule type="cellIs" dxfId="57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6" priority="1" operator="greaterThan">
      <formula>11</formula>
    </cfRule>
    <cfRule type="cellIs" dxfId="55" priority="2" operator="lessThan">
      <formula>12</formula>
    </cfRule>
    <cfRule type="cellIs" dxfId="54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3" priority="1" operator="greaterThan">
      <formula>11</formula>
    </cfRule>
    <cfRule type="cellIs" dxfId="52" priority="2" operator="lessThan">
      <formula>12</formula>
    </cfRule>
    <cfRule type="cellIs" dxfId="51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0" priority="1" operator="greaterThan">
      <formula>11</formula>
    </cfRule>
    <cfRule type="cellIs" dxfId="49" priority="2" operator="lessThan">
      <formula>12</formula>
    </cfRule>
    <cfRule type="cellIs" dxfId="48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7" priority="1" operator="greaterThan">
      <formula>11</formula>
    </cfRule>
    <cfRule type="cellIs" dxfId="46" priority="2" operator="lessThan">
      <formula>12</formula>
    </cfRule>
    <cfRule type="cellIs" dxfId="45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4" priority="1" operator="greaterThan">
      <formula>11</formula>
    </cfRule>
    <cfRule type="cellIs" dxfId="43" priority="2" operator="lessThan">
      <formula>12</formula>
    </cfRule>
    <cfRule type="cellIs" dxfId="4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1" priority="1" operator="greaterThan">
      <formula>11</formula>
    </cfRule>
    <cfRule type="cellIs" dxfId="40" priority="2" operator="lessThan">
      <formula>12</formula>
    </cfRule>
    <cfRule type="cellIs" dxfId="39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3"/>
  <sheetViews>
    <sheetView workbookViewId="0">
      <selection activeCell="C23" sqref="C2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</row>
    <row r="10" spans="1:36" x14ac:dyDescent="0.25">
      <c r="A10" s="9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10</v>
      </c>
      <c r="C11" s="2">
        <f>COUNTIF(F3:AI3,"WFH")</f>
        <v>9</v>
      </c>
    </row>
    <row r="12" spans="1:36" x14ac:dyDescent="0.25">
      <c r="A12" s="2" t="s">
        <v>19</v>
      </c>
      <c r="B12" s="2">
        <f>COUNTIF(F4:AI4,"WFO")</f>
        <v>11</v>
      </c>
      <c r="C12" s="2">
        <f>COUNTIF(F4:AI4,"WFH")</f>
        <v>4</v>
      </c>
    </row>
    <row r="13" spans="1:36" x14ac:dyDescent="0.25">
      <c r="A13" s="2" t="s">
        <v>20</v>
      </c>
      <c r="B13" s="2">
        <f>COUNTIF(F5:AI5,"WFO")</f>
        <v>10</v>
      </c>
      <c r="C13" s="2">
        <f>COUNTIF(F5:AI5,"WFH")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3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2"/>
  <sheetViews>
    <sheetView workbookViewId="0">
      <selection activeCell="A13" sqref="A13:XF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9" spans="1:33" x14ac:dyDescent="0.25">
      <c r="A9" s="9" t="s">
        <v>1</v>
      </c>
      <c r="B9" s="2" t="s">
        <v>27</v>
      </c>
      <c r="C9" s="2" t="s">
        <v>26</v>
      </c>
    </row>
    <row r="10" spans="1:33" x14ac:dyDescent="0.25">
      <c r="A10" s="2" t="s">
        <v>12</v>
      </c>
      <c r="B10" s="2">
        <f>COUNTIF(F3:AG3,"WFO")</f>
        <v>7</v>
      </c>
      <c r="C10" s="2">
        <f>COUNTIF(F3:AG3,"WFH")</f>
        <v>11</v>
      </c>
    </row>
    <row r="11" spans="1:33" x14ac:dyDescent="0.25">
      <c r="A11" s="2" t="s">
        <v>19</v>
      </c>
      <c r="B11" s="2">
        <f>COUNTIF(F4:AG4,"WFO")</f>
        <v>8</v>
      </c>
      <c r="C11" s="2">
        <f>COUNTIF(F4:AG4,"WFH")</f>
        <v>12</v>
      </c>
    </row>
    <row r="12" spans="1:33" x14ac:dyDescent="0.25">
      <c r="A12" s="2" t="s">
        <v>20</v>
      </c>
      <c r="B12" s="2">
        <f>COUNTIF(F5:AG5,"WFO")</f>
        <v>11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2"/>
  <sheetViews>
    <sheetView workbookViewId="0">
      <selection activeCell="A13" sqref="A13:XF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9" spans="1:36" x14ac:dyDescent="0.25">
      <c r="A9" s="9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COUNTIF(F3:AJ3,"WFO")</f>
        <v>13</v>
      </c>
      <c r="C10" s="2">
        <f>COUNTIF(F3:AG3,"WFH")</f>
        <v>6</v>
      </c>
    </row>
    <row r="11" spans="1:36" x14ac:dyDescent="0.25">
      <c r="A11" s="2" t="s">
        <v>19</v>
      </c>
      <c r="B11" s="2">
        <f>COUNTIF(F4:AJ4,"WFO")</f>
        <v>15</v>
      </c>
      <c r="C11" s="2">
        <f>COUNTIF(F4:AG4,"WFH")</f>
        <v>5</v>
      </c>
    </row>
    <row r="12" spans="1:36" x14ac:dyDescent="0.25">
      <c r="A12" s="2" t="s">
        <v>20</v>
      </c>
      <c r="B12" s="2">
        <f>COUNTIF(F5:AJ5,"WFO")</f>
        <v>12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2"/>
  <sheetViews>
    <sheetView workbookViewId="0">
      <selection activeCell="J30" sqref="J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9" spans="1:35" x14ac:dyDescent="0.25">
      <c r="A9" s="9" t="s">
        <v>1</v>
      </c>
      <c r="B9" s="2" t="s">
        <v>27</v>
      </c>
      <c r="C9" s="2" t="s">
        <v>26</v>
      </c>
    </row>
    <row r="10" spans="1:35" x14ac:dyDescent="0.25">
      <c r="A10" s="2" t="s">
        <v>12</v>
      </c>
      <c r="B10" s="2">
        <f>COUNTIF(F3:AI3,"WFO")</f>
        <v>12</v>
      </c>
      <c r="C10" s="2">
        <f>COUNTIF(F3:AG3,"WFH")</f>
        <v>8</v>
      </c>
    </row>
    <row r="11" spans="1:35" x14ac:dyDescent="0.25">
      <c r="A11" s="2" t="s">
        <v>19</v>
      </c>
      <c r="B11" s="2">
        <f>COUNTIF(F4:AI4,"WFO")</f>
        <v>12</v>
      </c>
      <c r="C11" s="2">
        <f>COUNTIF(F4:AG4,"WFH")</f>
        <v>8</v>
      </c>
    </row>
    <row r="12" spans="1:35" x14ac:dyDescent="0.25">
      <c r="A12" s="2" t="s">
        <v>20</v>
      </c>
      <c r="B12" s="2">
        <f>COUNTIF(F5:AI5,"WFO")</f>
        <v>12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2"/>
  <sheetViews>
    <sheetView workbookViewId="0">
      <selection activeCell="B17" sqref="B1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6" t="s">
        <v>24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9" spans="1:36" x14ac:dyDescent="0.25">
      <c r="A9" s="9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10</v>
      </c>
      <c r="C10" s="2">
        <f>COUNTIF(F3:AG3,"WFH")</f>
        <v>8</v>
      </c>
    </row>
    <row r="11" spans="1:36" x14ac:dyDescent="0.25">
      <c r="A11" s="2" t="s">
        <v>19</v>
      </c>
      <c r="B11" s="2">
        <f>COUNTIF(F4:AI4,"WFO")</f>
        <v>14</v>
      </c>
      <c r="C11" s="2">
        <f>COUNTIF(F4:AG4,"WFH")</f>
        <v>4</v>
      </c>
    </row>
    <row r="12" spans="1:36" x14ac:dyDescent="0.25">
      <c r="A12" s="2" t="s">
        <v>20</v>
      </c>
      <c r="B12" s="2">
        <f>COUNTIF(F5:AI5,"WFO")</f>
        <v>9</v>
      </c>
      <c r="C12" s="2">
        <f>COUNTIF(F5:AG5,"WFH")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3"/>
  <sheetViews>
    <sheetView workbookViewId="0">
      <selection activeCell="A7" sqref="A7:XFD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5" t="s">
        <v>17</v>
      </c>
      <c r="AE3" s="5" t="s">
        <v>17</v>
      </c>
      <c r="AF3" s="7"/>
      <c r="AG3" s="7"/>
      <c r="AH3" s="5" t="s">
        <v>17</v>
      </c>
      <c r="AI3" s="5" t="s">
        <v>17</v>
      </c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4" t="s">
        <v>16</v>
      </c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10" spans="1:35" x14ac:dyDescent="0.25">
      <c r="A10" s="9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COUNTIF(F4:AI4,"WFO")</f>
        <v>13</v>
      </c>
      <c r="C11" s="2">
        <f>COUNTIF(F4:AG4,"WFH")</f>
        <v>9</v>
      </c>
    </row>
    <row r="12" spans="1:35" x14ac:dyDescent="0.25">
      <c r="A12" s="2" t="s">
        <v>19</v>
      </c>
      <c r="B12" s="2">
        <f>COUNTIF(F5:AI5,"WFO")</f>
        <v>14</v>
      </c>
      <c r="C12" s="2">
        <f>COUNTIF(F5:AG5,"WFH")</f>
        <v>8</v>
      </c>
    </row>
    <row r="13" spans="1:35" x14ac:dyDescent="0.25">
      <c r="A13" s="2" t="s">
        <v>20</v>
      </c>
      <c r="B13" s="2">
        <f>COUNTIF(F6:AI6,"WFO")</f>
        <v>13</v>
      </c>
      <c r="C13" s="2">
        <f>COUNTIF(F6:AG6,"WFH")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3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49D2-15A1-404E-9EF3-800FA95F32E2}">
  <dimension ref="A1:AJ15"/>
  <sheetViews>
    <sheetView workbookViewId="0">
      <selection activeCell="A16" sqref="A16:XFD16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46204</v>
      </c>
      <c r="G1" s="1">
        <v>46205</v>
      </c>
      <c r="H1" s="1">
        <v>46206</v>
      </c>
      <c r="I1" s="1">
        <v>46207</v>
      </c>
      <c r="J1" s="1">
        <v>46208</v>
      </c>
      <c r="K1" s="1">
        <v>46209</v>
      </c>
      <c r="L1" s="1">
        <v>46210</v>
      </c>
      <c r="M1" s="1">
        <v>46211</v>
      </c>
      <c r="N1" s="1">
        <v>46212</v>
      </c>
      <c r="O1" s="1">
        <v>46213</v>
      </c>
      <c r="P1" s="1">
        <v>46214</v>
      </c>
      <c r="Q1" s="1">
        <v>46215</v>
      </c>
      <c r="R1" s="1">
        <v>46216</v>
      </c>
      <c r="S1" s="1">
        <v>46217</v>
      </c>
      <c r="T1" s="1">
        <v>46218</v>
      </c>
      <c r="U1" s="1">
        <v>46219</v>
      </c>
      <c r="V1" s="1">
        <v>46220</v>
      </c>
      <c r="W1" s="1">
        <v>46221</v>
      </c>
      <c r="X1" s="1">
        <v>46222</v>
      </c>
      <c r="Y1" s="1">
        <v>46223</v>
      </c>
      <c r="Z1" s="1">
        <v>46224</v>
      </c>
      <c r="AA1" s="1">
        <v>46225</v>
      </c>
      <c r="AB1" s="1">
        <v>46226</v>
      </c>
      <c r="AC1" s="1">
        <v>46227</v>
      </c>
      <c r="AD1" s="1">
        <v>46228</v>
      </c>
      <c r="AE1" s="1">
        <v>46229</v>
      </c>
      <c r="AF1" s="1">
        <v>46230</v>
      </c>
      <c r="AG1" s="1">
        <v>46231</v>
      </c>
      <c r="AH1" s="1">
        <v>46232</v>
      </c>
      <c r="AI1" s="1">
        <v>46233</v>
      </c>
      <c r="AJ1" s="1">
        <v>46234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6" t="s">
        <v>18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6" t="s">
        <v>24</v>
      </c>
      <c r="G4" s="5" t="s">
        <v>17</v>
      </c>
      <c r="H4" s="5" t="s">
        <v>17</v>
      </c>
      <c r="I4" s="7"/>
      <c r="J4" s="7"/>
      <c r="K4" s="5" t="s">
        <v>17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2"/>
      <c r="G6" s="2"/>
      <c r="H6" s="2"/>
      <c r="I6" s="7"/>
      <c r="J6" s="7"/>
      <c r="K6" s="2"/>
      <c r="L6" s="2"/>
      <c r="M6" s="2"/>
      <c r="N6" s="2"/>
      <c r="O6" s="2"/>
      <c r="P6" s="7"/>
      <c r="Q6" s="7"/>
      <c r="R6" s="2"/>
      <c r="S6" s="2"/>
      <c r="T6" s="2"/>
      <c r="U6" s="2"/>
      <c r="V6" s="2"/>
      <c r="W6" s="7"/>
      <c r="X6" s="7"/>
      <c r="Y6" s="5" t="s">
        <v>17</v>
      </c>
      <c r="Z6" s="5" t="s">
        <v>17</v>
      </c>
      <c r="AA6" s="4" t="s">
        <v>16</v>
      </c>
      <c r="AB6" s="4" t="s">
        <v>16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5" t="s">
        <v>17</v>
      </c>
      <c r="H7" s="5" t="s">
        <v>17</v>
      </c>
      <c r="I7" s="7"/>
      <c r="J7" s="7"/>
      <c r="K7" s="5" t="s">
        <v>17</v>
      </c>
      <c r="L7" s="5" t="s">
        <v>17</v>
      </c>
      <c r="M7" s="5" t="s">
        <v>17</v>
      </c>
      <c r="N7" s="5" t="s">
        <v>17</v>
      </c>
      <c r="O7" s="5" t="s">
        <v>17</v>
      </c>
      <c r="P7" s="7"/>
      <c r="Q7" s="7"/>
      <c r="R7" s="6" t="s">
        <v>24</v>
      </c>
      <c r="S7" s="4" t="s">
        <v>16</v>
      </c>
      <c r="T7" s="4" t="s">
        <v>16</v>
      </c>
      <c r="U7" s="5" t="s">
        <v>17</v>
      </c>
      <c r="V7" s="4" t="s">
        <v>16</v>
      </c>
      <c r="W7" s="7"/>
      <c r="X7" s="7"/>
      <c r="Y7" s="4" t="s">
        <v>16</v>
      </c>
      <c r="Z7" s="4" t="s">
        <v>16</v>
      </c>
      <c r="AA7" s="4" t="s">
        <v>16</v>
      </c>
      <c r="AB7" s="4" t="s">
        <v>16</v>
      </c>
      <c r="AC7" s="4" t="s">
        <v>16</v>
      </c>
      <c r="AD7" s="7"/>
      <c r="AE7" s="7"/>
      <c r="AF7" s="6" t="s">
        <v>18</v>
      </c>
      <c r="AG7" s="6" t="s">
        <v>18</v>
      </c>
      <c r="AH7" s="6" t="s">
        <v>18</v>
      </c>
      <c r="AI7" s="5" t="s">
        <v>17</v>
      </c>
      <c r="AJ7" s="5" t="s">
        <v>17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7"/>
      <c r="J8" s="7"/>
      <c r="K8" s="4" t="s">
        <v>16</v>
      </c>
      <c r="L8" s="4" t="s">
        <v>16</v>
      </c>
      <c r="M8" s="4" t="s">
        <v>16</v>
      </c>
      <c r="N8" s="5" t="s">
        <v>17</v>
      </c>
      <c r="O8" s="5" t="s">
        <v>17</v>
      </c>
      <c r="P8" s="7"/>
      <c r="Q8" s="7"/>
      <c r="R8" s="6" t="s">
        <v>24</v>
      </c>
      <c r="S8" s="4" t="s">
        <v>16</v>
      </c>
      <c r="T8" s="4" t="s">
        <v>16</v>
      </c>
      <c r="U8" s="5" t="s">
        <v>17</v>
      </c>
      <c r="V8" s="5" t="s">
        <v>17</v>
      </c>
      <c r="W8" s="7"/>
      <c r="X8" s="7"/>
      <c r="Y8" s="4" t="s">
        <v>16</v>
      </c>
      <c r="Z8" s="4" t="s">
        <v>16</v>
      </c>
      <c r="AA8" s="4" t="s">
        <v>16</v>
      </c>
      <c r="AB8" s="4" t="s">
        <v>16</v>
      </c>
      <c r="AC8" s="6" t="s">
        <v>18</v>
      </c>
      <c r="AD8" s="7"/>
      <c r="AE8" s="7"/>
      <c r="AF8" s="5" t="s">
        <v>17</v>
      </c>
      <c r="AG8" s="5" t="s">
        <v>17</v>
      </c>
      <c r="AH8" s="4" t="s">
        <v>16</v>
      </c>
      <c r="AI8" s="4" t="s">
        <v>16</v>
      </c>
      <c r="AJ8" s="5" t="s">
        <v>17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COUNTIF(F5:AI5,"WFO")</f>
        <v>13</v>
      </c>
      <c r="C13" s="2">
        <f>COUNTIF(F5:AG5,"WFH")</f>
        <v>8</v>
      </c>
    </row>
    <row r="14" spans="1:36" x14ac:dyDescent="0.25">
      <c r="A14" s="2" t="s">
        <v>19</v>
      </c>
      <c r="B14" s="2">
        <f>COUNTIF(F7:AI7,"WFO")</f>
        <v>9</v>
      </c>
      <c r="C14" s="2">
        <f>COUNTIF(F7:AG7,"WFH")</f>
        <v>8</v>
      </c>
    </row>
    <row r="15" spans="1:36" x14ac:dyDescent="0.25">
      <c r="A15" s="2" t="s">
        <v>20</v>
      </c>
      <c r="B15" s="2">
        <f>COUNTIF(F8:AI8,"WFO")</f>
        <v>12</v>
      </c>
      <c r="C15" s="2">
        <f>COUNTIF(F8:AG8,"WFH")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B1450-F750-4AAF-92F1-86BC63885A84}">
  <dimension ref="A1:AJ15"/>
  <sheetViews>
    <sheetView workbookViewId="0">
      <selection activeCell="X4" sqref="X4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46235</v>
      </c>
      <c r="G1" s="1">
        <v>46236</v>
      </c>
      <c r="H1" s="1">
        <v>46237</v>
      </c>
      <c r="I1" s="1">
        <v>46238</v>
      </c>
      <c r="J1" s="1">
        <v>46239</v>
      </c>
      <c r="K1" s="1">
        <v>46240</v>
      </c>
      <c r="L1" s="1">
        <v>46241</v>
      </c>
      <c r="M1" s="1">
        <v>46242</v>
      </c>
      <c r="N1" s="1">
        <v>46243</v>
      </c>
      <c r="O1" s="1">
        <v>46244</v>
      </c>
      <c r="P1" s="1">
        <v>46245</v>
      </c>
      <c r="Q1" s="1">
        <v>46246</v>
      </c>
      <c r="R1" s="1">
        <v>46247</v>
      </c>
      <c r="S1" s="1">
        <v>46248</v>
      </c>
      <c r="T1" s="1">
        <v>46249</v>
      </c>
      <c r="U1" s="1">
        <v>46250</v>
      </c>
      <c r="V1" s="1">
        <v>46251</v>
      </c>
      <c r="W1" s="1">
        <v>46252</v>
      </c>
      <c r="X1" s="1">
        <v>46253</v>
      </c>
      <c r="Y1" s="1">
        <v>46254</v>
      </c>
      <c r="Z1" s="1">
        <v>46255</v>
      </c>
      <c r="AA1" s="1">
        <v>46256</v>
      </c>
      <c r="AB1" s="1">
        <v>46257</v>
      </c>
      <c r="AC1" s="1">
        <v>46258</v>
      </c>
      <c r="AD1" s="1">
        <v>46259</v>
      </c>
      <c r="AE1" s="1">
        <v>46260</v>
      </c>
      <c r="AF1" s="1">
        <v>46261</v>
      </c>
      <c r="AG1" s="1">
        <v>46262</v>
      </c>
      <c r="AH1" s="1">
        <v>46263</v>
      </c>
      <c r="AI1" s="1">
        <v>46264</v>
      </c>
      <c r="AJ1" s="1">
        <v>46265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6" t="s">
        <v>32</v>
      </c>
      <c r="AF3" s="5" t="s">
        <v>17</v>
      </c>
      <c r="AG3" s="5" t="s">
        <v>17</v>
      </c>
      <c r="AH3" s="7"/>
      <c r="AI3" s="7"/>
      <c r="AJ3" s="4" t="s">
        <v>16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6" t="s">
        <v>24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6" t="s">
        <v>32</v>
      </c>
      <c r="AF4" s="5" t="s">
        <v>17</v>
      </c>
      <c r="AG4" s="5" t="s">
        <v>17</v>
      </c>
      <c r="AH4" s="7"/>
      <c r="AI4" s="7"/>
      <c r="AJ4" s="4" t="s">
        <v>16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7"/>
      <c r="H5" s="4" t="s">
        <v>16</v>
      </c>
      <c r="I5" s="5" t="s">
        <v>17</v>
      </c>
      <c r="J5" s="4" t="s">
        <v>16</v>
      </c>
      <c r="K5" s="6" t="s">
        <v>24</v>
      </c>
      <c r="L5" s="6" t="s">
        <v>24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6" t="s">
        <v>24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6" t="s">
        <v>32</v>
      </c>
      <c r="AF5" s="5" t="s">
        <v>17</v>
      </c>
      <c r="AG5" s="5" t="s">
        <v>17</v>
      </c>
      <c r="AH5" s="7"/>
      <c r="AI5" s="7"/>
      <c r="AJ5" s="4" t="s">
        <v>16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7"/>
      <c r="G6" s="7"/>
      <c r="H6" s="4" t="s">
        <v>16</v>
      </c>
      <c r="I6" s="4" t="s">
        <v>16</v>
      </c>
      <c r="J6" s="4" t="s">
        <v>16</v>
      </c>
      <c r="K6" s="5" t="s">
        <v>17</v>
      </c>
      <c r="L6" s="5" t="s">
        <v>17</v>
      </c>
      <c r="M6" s="7"/>
      <c r="N6" s="7"/>
      <c r="O6" s="4" t="s">
        <v>16</v>
      </c>
      <c r="P6" s="5" t="s">
        <v>17</v>
      </c>
      <c r="Q6" s="4" t="s">
        <v>16</v>
      </c>
      <c r="R6" s="4" t="s">
        <v>16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5" t="s">
        <v>17</v>
      </c>
      <c r="Z6" s="5" t="s">
        <v>17</v>
      </c>
      <c r="AA6" s="7"/>
      <c r="AB6" s="7"/>
      <c r="AC6" s="4" t="s">
        <v>16</v>
      </c>
      <c r="AD6" s="4" t="s">
        <v>16</v>
      </c>
      <c r="AE6" s="6" t="s">
        <v>32</v>
      </c>
      <c r="AF6" s="5" t="s">
        <v>17</v>
      </c>
      <c r="AG6" s="5" t="s">
        <v>17</v>
      </c>
      <c r="AH6" s="7"/>
      <c r="AI6" s="7"/>
      <c r="AJ6" s="4" t="s">
        <v>16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7"/>
      <c r="G7" s="7"/>
      <c r="H7" s="4" t="s">
        <v>16</v>
      </c>
      <c r="I7" s="4" t="s">
        <v>16</v>
      </c>
      <c r="J7" s="4" t="s">
        <v>16</v>
      </c>
      <c r="K7" s="4" t="s">
        <v>16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4" t="s">
        <v>16</v>
      </c>
      <c r="S7" s="5" t="s">
        <v>17</v>
      </c>
      <c r="T7" s="7"/>
      <c r="U7" s="7"/>
      <c r="V7" s="5" t="s">
        <v>17</v>
      </c>
      <c r="W7" s="6" t="s">
        <v>24</v>
      </c>
      <c r="X7" s="5" t="s">
        <v>17</v>
      </c>
      <c r="Y7" s="5" t="s">
        <v>17</v>
      </c>
      <c r="Z7" s="5" t="s">
        <v>17</v>
      </c>
      <c r="AA7" s="7"/>
      <c r="AB7" s="7"/>
      <c r="AC7" s="5" t="s">
        <v>17</v>
      </c>
      <c r="AD7" s="5" t="s">
        <v>17</v>
      </c>
      <c r="AE7" s="6" t="s">
        <v>32</v>
      </c>
      <c r="AF7" s="6" t="s">
        <v>24</v>
      </c>
      <c r="AG7" s="6" t="s">
        <v>24</v>
      </c>
      <c r="AH7" s="7"/>
      <c r="AI7" s="7"/>
      <c r="AJ7" s="4" t="s">
        <v>16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7"/>
      <c r="G8" s="7"/>
      <c r="H8" s="4" t="s">
        <v>16</v>
      </c>
      <c r="I8" s="4" t="s">
        <v>16</v>
      </c>
      <c r="J8" s="4" t="s">
        <v>16</v>
      </c>
      <c r="K8" s="5" t="s">
        <v>17</v>
      </c>
      <c r="L8" s="5" t="s">
        <v>17</v>
      </c>
      <c r="M8" s="7"/>
      <c r="N8" s="7"/>
      <c r="O8" s="4" t="s">
        <v>16</v>
      </c>
      <c r="P8" s="5" t="s">
        <v>17</v>
      </c>
      <c r="Q8" s="4" t="s">
        <v>16</v>
      </c>
      <c r="R8" s="4" t="s">
        <v>16</v>
      </c>
      <c r="S8" s="4" t="s">
        <v>16</v>
      </c>
      <c r="T8" s="7"/>
      <c r="U8" s="7"/>
      <c r="V8" s="4" t="s">
        <v>16</v>
      </c>
      <c r="W8" s="4" t="s">
        <v>16</v>
      </c>
      <c r="X8" s="4" t="s">
        <v>16</v>
      </c>
      <c r="Y8" s="5" t="s">
        <v>17</v>
      </c>
      <c r="Z8" s="5" t="s">
        <v>17</v>
      </c>
      <c r="AA8" s="7"/>
      <c r="AB8" s="7"/>
      <c r="AC8" s="4" t="s">
        <v>16</v>
      </c>
      <c r="AD8" s="4" t="s">
        <v>16</v>
      </c>
      <c r="AE8" s="6" t="s">
        <v>32</v>
      </c>
      <c r="AF8" s="5" t="s">
        <v>17</v>
      </c>
      <c r="AG8" s="5" t="s">
        <v>17</v>
      </c>
      <c r="AH8" s="7"/>
      <c r="AI8" s="7"/>
      <c r="AJ8" s="4" t="s">
        <v>16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COUNTIF(H5:AJ5,"WFO")</f>
        <v>11</v>
      </c>
      <c r="C13" s="2">
        <f>COUNTIF(H5:AI5,"WFH")</f>
        <v>6</v>
      </c>
    </row>
    <row r="14" spans="1:36" x14ac:dyDescent="0.25">
      <c r="A14" s="2" t="s">
        <v>19</v>
      </c>
      <c r="B14" s="2">
        <f>COUNTIF(H7:AJ7,"WFO")</f>
        <v>10</v>
      </c>
      <c r="C14" s="2">
        <f>COUNTIF(H7:AI7,"WFH")</f>
        <v>7</v>
      </c>
    </row>
    <row r="15" spans="1:36" x14ac:dyDescent="0.25">
      <c r="A15" s="2" t="s">
        <v>20</v>
      </c>
      <c r="B15" s="2">
        <f>COUNTIF(H8:AJ8,"WFO")</f>
        <v>13</v>
      </c>
      <c r="C15" s="2">
        <f>COUNTIF(H8:AI8,"WFH")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75C38-32AC-4EA3-9612-A4A3D80F7093}">
  <dimension ref="A1:AI18"/>
  <sheetViews>
    <sheetView workbookViewId="0">
      <selection activeCell="S7" sqref="S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11.5703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46266</v>
      </c>
      <c r="G1" s="1">
        <v>46267</v>
      </c>
      <c r="H1" s="1">
        <v>46268</v>
      </c>
      <c r="I1" s="1">
        <v>46269</v>
      </c>
      <c r="J1" s="1">
        <v>46270</v>
      </c>
      <c r="K1" s="1">
        <v>46271</v>
      </c>
      <c r="L1" s="1">
        <v>46272</v>
      </c>
      <c r="M1" s="1">
        <v>46273</v>
      </c>
      <c r="N1" s="1">
        <v>46274</v>
      </c>
      <c r="O1" s="1">
        <v>46275</v>
      </c>
      <c r="P1" s="1">
        <v>46276</v>
      </c>
      <c r="Q1" s="1">
        <v>46277</v>
      </c>
      <c r="R1" s="1">
        <v>46278</v>
      </c>
      <c r="S1" s="1">
        <v>46279</v>
      </c>
      <c r="T1" s="1">
        <v>46280</v>
      </c>
      <c r="U1" s="1">
        <v>46281</v>
      </c>
      <c r="V1" s="1">
        <v>46282</v>
      </c>
      <c r="W1" s="1">
        <v>46283</v>
      </c>
      <c r="X1" s="1">
        <v>46284</v>
      </c>
      <c r="Y1" s="1">
        <v>46285</v>
      </c>
      <c r="Z1" s="1">
        <v>46286</v>
      </c>
      <c r="AA1" s="1">
        <v>46287</v>
      </c>
      <c r="AB1" s="1">
        <v>46288</v>
      </c>
      <c r="AC1" s="1">
        <v>46289</v>
      </c>
      <c r="AD1" s="1">
        <v>46290</v>
      </c>
      <c r="AE1" s="1">
        <v>46291</v>
      </c>
      <c r="AF1" s="1">
        <v>46292</v>
      </c>
      <c r="AG1" s="1">
        <v>46293</v>
      </c>
      <c r="AH1" s="1">
        <v>46294</v>
      </c>
      <c r="AI1" s="1">
        <v>46295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6" t="s">
        <v>28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5" t="s">
        <v>17</v>
      </c>
      <c r="H4" s="4" t="s">
        <v>16</v>
      </c>
      <c r="I4" s="5" t="s">
        <v>17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28</v>
      </c>
      <c r="T4" s="4" t="s">
        <v>16</v>
      </c>
      <c r="U4" s="4" t="s">
        <v>16</v>
      </c>
      <c r="V4" s="5" t="s">
        <v>17</v>
      </c>
      <c r="W4" s="5" t="s">
        <v>17</v>
      </c>
      <c r="X4" s="7"/>
      <c r="Y4" s="7"/>
      <c r="Z4" s="4" t="s">
        <v>16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4" t="s">
        <v>16</v>
      </c>
      <c r="H5" s="5" t="s">
        <v>17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6" t="s">
        <v>28</v>
      </c>
      <c r="T5" s="6" t="s">
        <v>24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5" t="s">
        <v>17</v>
      </c>
      <c r="AH5" s="4" t="s">
        <v>16</v>
      </c>
      <c r="AI5" s="4" t="s">
        <v>16</v>
      </c>
    </row>
    <row r="6" spans="1:35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4" t="s">
        <v>16</v>
      </c>
      <c r="G6" s="4" t="s">
        <v>16</v>
      </c>
      <c r="H6" s="5" t="s">
        <v>17</v>
      </c>
      <c r="I6" s="5" t="s">
        <v>17</v>
      </c>
      <c r="J6" s="7"/>
      <c r="K6" s="7"/>
      <c r="L6" s="4" t="s">
        <v>16</v>
      </c>
      <c r="M6" s="4" t="s">
        <v>16</v>
      </c>
      <c r="N6" s="4" t="s">
        <v>16</v>
      </c>
      <c r="O6" s="5" t="s">
        <v>17</v>
      </c>
      <c r="P6" s="5" t="s">
        <v>17</v>
      </c>
      <c r="Q6" s="7"/>
      <c r="R6" s="7"/>
      <c r="S6" s="6" t="s">
        <v>28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6" t="s">
        <v>24</v>
      </c>
      <c r="AH6" s="5" t="s">
        <v>17</v>
      </c>
      <c r="AI6" s="4" t="s">
        <v>16</v>
      </c>
    </row>
    <row r="7" spans="1:35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4" t="s">
        <v>16</v>
      </c>
      <c r="H7" s="5" t="s">
        <v>17</v>
      </c>
      <c r="I7" s="5" t="s">
        <v>17</v>
      </c>
      <c r="J7" s="7"/>
      <c r="K7" s="7"/>
      <c r="L7" s="4" t="s">
        <v>16</v>
      </c>
      <c r="M7" s="4" t="s">
        <v>16</v>
      </c>
      <c r="N7" s="4" t="s">
        <v>16</v>
      </c>
      <c r="O7" s="5" t="s">
        <v>17</v>
      </c>
      <c r="P7" s="5" t="s">
        <v>17</v>
      </c>
      <c r="Q7" s="7"/>
      <c r="R7" s="7"/>
      <c r="S7" s="6" t="s">
        <v>28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6" t="s">
        <v>24</v>
      </c>
    </row>
    <row r="8" spans="1:35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5" t="s">
        <v>17</v>
      </c>
      <c r="J8" s="7"/>
      <c r="K8" s="7"/>
      <c r="L8" s="4" t="s">
        <v>16</v>
      </c>
      <c r="M8" s="5" t="s">
        <v>17</v>
      </c>
      <c r="N8" s="4" t="s">
        <v>16</v>
      </c>
      <c r="O8" s="5" t="s">
        <v>17</v>
      </c>
      <c r="P8" s="5" t="s">
        <v>17</v>
      </c>
      <c r="Q8" s="7"/>
      <c r="R8" s="7"/>
      <c r="S8" s="6" t="s">
        <v>28</v>
      </c>
      <c r="T8" s="6" t="s">
        <v>24</v>
      </c>
      <c r="U8" s="6" t="s">
        <v>24</v>
      </c>
      <c r="V8" s="5" t="s">
        <v>17</v>
      </c>
      <c r="W8" s="5" t="s">
        <v>17</v>
      </c>
      <c r="X8" s="7"/>
      <c r="Y8" s="7"/>
      <c r="Z8" s="4" t="s">
        <v>16</v>
      </c>
      <c r="AA8" s="4" t="s">
        <v>16</v>
      </c>
      <c r="AB8" s="4" t="s">
        <v>16</v>
      </c>
      <c r="AC8" s="5" t="s">
        <v>17</v>
      </c>
      <c r="AD8" s="5" t="s">
        <v>17</v>
      </c>
      <c r="AE8" s="7"/>
      <c r="AF8" s="7"/>
      <c r="AG8" s="4" t="s">
        <v>16</v>
      </c>
      <c r="AH8" s="5" t="s">
        <v>17</v>
      </c>
      <c r="AI8" s="4" t="s">
        <v>16</v>
      </c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30</v>
      </c>
      <c r="B13" s="4">
        <f t="shared" ref="B13:B18" si="0">COUNTIF(F3:AI3,"WFO")</f>
        <v>13</v>
      </c>
      <c r="C13" s="2">
        <f t="shared" ref="C13:C18" si="1">COUNTIF(H3:AI3,"WFH")</f>
        <v>8</v>
      </c>
    </row>
    <row r="14" spans="1:35" x14ac:dyDescent="0.25">
      <c r="A14" s="2" t="s">
        <v>29</v>
      </c>
      <c r="B14" s="4">
        <f t="shared" si="0"/>
        <v>12</v>
      </c>
      <c r="C14" s="2">
        <f t="shared" si="1"/>
        <v>8</v>
      </c>
    </row>
    <row r="15" spans="1:35" x14ac:dyDescent="0.25">
      <c r="A15" s="2" t="s">
        <v>12</v>
      </c>
      <c r="B15" s="2">
        <f t="shared" si="0"/>
        <v>10</v>
      </c>
      <c r="C15" s="2">
        <f t="shared" si="1"/>
        <v>9</v>
      </c>
    </row>
    <row r="16" spans="1:35" x14ac:dyDescent="0.25">
      <c r="A16" s="2" t="s">
        <v>31</v>
      </c>
      <c r="B16" s="2">
        <f t="shared" si="0"/>
        <v>11</v>
      </c>
      <c r="C16" s="2">
        <f t="shared" si="1"/>
        <v>9</v>
      </c>
    </row>
    <row r="17" spans="1:3" x14ac:dyDescent="0.25">
      <c r="A17" s="2" t="s">
        <v>19</v>
      </c>
      <c r="B17" s="2">
        <f t="shared" si="0"/>
        <v>12</v>
      </c>
      <c r="C17" s="2">
        <f t="shared" si="1"/>
        <v>8</v>
      </c>
    </row>
    <row r="18" spans="1:3" x14ac:dyDescent="0.25">
      <c r="A18" s="2" t="s">
        <v>20</v>
      </c>
      <c r="B18" s="2">
        <f t="shared" si="0"/>
        <v>8</v>
      </c>
      <c r="C18" s="2">
        <f t="shared" si="1"/>
        <v>10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5:B18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8991-FECB-4DED-BEB7-2ACC94684DF5}">
  <dimension ref="A1:AJ19"/>
  <sheetViews>
    <sheetView workbookViewId="0">
      <pane xSplit="1" topLeftCell="O1" activePane="topRight" state="frozen"/>
      <selection pane="topRight" activeCell="Z5" sqref="Z5:AB5"/>
    </sheetView>
  </sheetViews>
  <sheetFormatPr defaultRowHeight="15" x14ac:dyDescent="0.25"/>
  <cols>
    <col min="1" max="1" width="25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11" width="9.42578125" bestFit="1" customWidth="1"/>
    <col min="12" max="12" width="11.5703125" bestFit="1" customWidth="1"/>
    <col min="13" max="14" width="9.42578125" bestFit="1" customWidth="1"/>
    <col min="15" max="18" width="10.42578125" bestFit="1" customWidth="1"/>
    <col min="19" max="19" width="11.5703125" bestFit="1" customWidth="1"/>
    <col min="20" max="25" width="10.42578125" bestFit="1" customWidth="1"/>
    <col min="26" max="26" width="11.5703125" bestFit="1" customWidth="1"/>
    <col min="27" max="32" width="10.42578125" bestFit="1" customWidth="1"/>
    <col min="33" max="33" width="11.5703125" bestFit="1" customWidth="1"/>
    <col min="34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46296</v>
      </c>
      <c r="G1" s="1">
        <v>46297</v>
      </c>
      <c r="H1" s="1">
        <v>46298</v>
      </c>
      <c r="I1" s="1">
        <v>46299</v>
      </c>
      <c r="J1" s="1">
        <v>46300</v>
      </c>
      <c r="K1" s="1">
        <v>46301</v>
      </c>
      <c r="L1" s="1">
        <v>46302</v>
      </c>
      <c r="M1" s="1">
        <v>46303</v>
      </c>
      <c r="N1" s="1">
        <v>46304</v>
      </c>
      <c r="O1" s="1">
        <v>46305</v>
      </c>
      <c r="P1" s="1">
        <v>46306</v>
      </c>
      <c r="Q1" s="1">
        <v>46307</v>
      </c>
      <c r="R1" s="1">
        <v>46308</v>
      </c>
      <c r="S1" s="1">
        <v>46309</v>
      </c>
      <c r="T1" s="1">
        <v>46310</v>
      </c>
      <c r="U1" s="1">
        <v>46311</v>
      </c>
      <c r="V1" s="1">
        <v>46312</v>
      </c>
      <c r="W1" s="1">
        <v>46313</v>
      </c>
      <c r="X1" s="1">
        <v>46314</v>
      </c>
      <c r="Y1" s="1">
        <v>46315</v>
      </c>
      <c r="Z1" s="1">
        <v>46316</v>
      </c>
      <c r="AA1" s="1">
        <v>46317</v>
      </c>
      <c r="AB1" s="1">
        <v>46318</v>
      </c>
      <c r="AC1" s="1">
        <v>46319</v>
      </c>
      <c r="AD1" s="1">
        <v>46320</v>
      </c>
      <c r="AE1" s="1">
        <v>46321</v>
      </c>
      <c r="AF1" s="1">
        <v>46322</v>
      </c>
      <c r="AG1" s="1">
        <v>46323</v>
      </c>
      <c r="AH1" s="1">
        <v>46324</v>
      </c>
      <c r="AI1" s="1">
        <v>46325</v>
      </c>
      <c r="AJ1" s="1">
        <v>46326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28</v>
      </c>
      <c r="H3" s="7"/>
      <c r="I3" s="7"/>
      <c r="J3" s="4" t="s">
        <v>16</v>
      </c>
      <c r="K3" s="4" t="s">
        <v>16</v>
      </c>
      <c r="L3" s="4" t="s">
        <v>16</v>
      </c>
      <c r="M3" s="4" t="s">
        <v>16</v>
      </c>
      <c r="N3" s="5" t="s">
        <v>17</v>
      </c>
      <c r="O3" s="7"/>
      <c r="P3" s="7"/>
      <c r="Q3" s="4" t="s">
        <v>16</v>
      </c>
      <c r="R3" s="4" t="s">
        <v>16</v>
      </c>
      <c r="S3" s="5" t="s">
        <v>17</v>
      </c>
      <c r="T3" s="2"/>
      <c r="U3" s="2"/>
      <c r="V3" s="7"/>
      <c r="W3" s="7"/>
      <c r="X3" s="2"/>
      <c r="Y3" s="2"/>
      <c r="Z3" s="2"/>
      <c r="AA3" s="2"/>
      <c r="AB3" s="2"/>
      <c r="AC3" s="7"/>
      <c r="AD3" s="7"/>
      <c r="AE3" s="2"/>
      <c r="AF3" s="2"/>
      <c r="AG3" s="2"/>
      <c r="AH3" s="2"/>
      <c r="AI3" s="2"/>
      <c r="AJ3" s="7"/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5" t="s">
        <v>17</v>
      </c>
      <c r="G4" s="6" t="s">
        <v>28</v>
      </c>
      <c r="H4" s="7"/>
      <c r="I4" s="7"/>
      <c r="J4" s="4" t="s">
        <v>16</v>
      </c>
      <c r="K4" s="4" t="s">
        <v>16</v>
      </c>
      <c r="L4" s="4" t="s">
        <v>16</v>
      </c>
      <c r="M4" s="4" t="s">
        <v>16</v>
      </c>
      <c r="N4" s="5" t="s">
        <v>17</v>
      </c>
      <c r="O4" s="7"/>
      <c r="P4" s="7"/>
      <c r="Q4" s="6" t="s">
        <v>24</v>
      </c>
      <c r="R4" s="6" t="s">
        <v>24</v>
      </c>
      <c r="S4" s="6" t="s">
        <v>24</v>
      </c>
      <c r="T4" s="6" t="s">
        <v>24</v>
      </c>
      <c r="U4" s="6" t="s">
        <v>24</v>
      </c>
      <c r="V4" s="7"/>
      <c r="W4" s="7"/>
      <c r="X4" s="2"/>
      <c r="Y4" s="2"/>
      <c r="Z4" s="2"/>
      <c r="AA4" s="2"/>
      <c r="AB4" s="2"/>
      <c r="AC4" s="7"/>
      <c r="AD4" s="7"/>
      <c r="AE4" s="2"/>
      <c r="AF4" s="2"/>
      <c r="AG4" s="2"/>
      <c r="AH4" s="2"/>
      <c r="AI4" s="2"/>
      <c r="AJ4" s="7"/>
    </row>
    <row r="5" spans="1:36" x14ac:dyDescent="0.2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6" t="s">
        <v>28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4" t="s">
        <v>16</v>
      </c>
      <c r="T5" s="2"/>
      <c r="U5" s="2"/>
      <c r="V5" s="7"/>
      <c r="W5" s="7"/>
      <c r="X5" s="2"/>
      <c r="Y5" s="2"/>
      <c r="Z5" s="6" t="s">
        <v>24</v>
      </c>
      <c r="AA5" s="6" t="s">
        <v>24</v>
      </c>
      <c r="AB5" s="6" t="s">
        <v>24</v>
      </c>
      <c r="AC5" s="7"/>
      <c r="AD5" s="7"/>
      <c r="AE5" s="2"/>
      <c r="AF5" s="2"/>
      <c r="AG5" s="2"/>
      <c r="AH5" s="2"/>
      <c r="AI5" s="2"/>
      <c r="AJ5" s="7"/>
    </row>
    <row r="6" spans="1:36" x14ac:dyDescent="0.2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5" t="s">
        <v>17</v>
      </c>
      <c r="G6" s="6" t="s">
        <v>28</v>
      </c>
      <c r="H6" s="7"/>
      <c r="I6" s="7"/>
      <c r="J6" s="4" t="s">
        <v>16</v>
      </c>
      <c r="K6" s="4" t="s">
        <v>16</v>
      </c>
      <c r="L6" s="4" t="s">
        <v>16</v>
      </c>
      <c r="M6" s="6" t="s">
        <v>24</v>
      </c>
      <c r="N6" s="5" t="s">
        <v>17</v>
      </c>
      <c r="O6" s="7"/>
      <c r="P6" s="7"/>
      <c r="Q6" s="4" t="s">
        <v>16</v>
      </c>
      <c r="R6" s="4" t="s">
        <v>16</v>
      </c>
      <c r="S6" s="5" t="s">
        <v>17</v>
      </c>
      <c r="T6" s="2"/>
      <c r="U6" s="2"/>
      <c r="V6" s="7"/>
      <c r="W6" s="7"/>
      <c r="X6" s="2"/>
      <c r="Y6" s="2"/>
      <c r="Z6" s="2"/>
      <c r="AA6" s="2"/>
      <c r="AB6" s="2"/>
      <c r="AC6" s="7"/>
      <c r="AD6" s="7"/>
      <c r="AE6" s="2"/>
      <c r="AF6" s="2"/>
      <c r="AG6" s="2"/>
      <c r="AH6" s="2"/>
      <c r="AI6" s="2"/>
      <c r="AJ6" s="7"/>
    </row>
    <row r="7" spans="1:36" x14ac:dyDescent="0.2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5" t="s">
        <v>17</v>
      </c>
      <c r="G7" s="6" t="s">
        <v>28</v>
      </c>
      <c r="H7" s="7"/>
      <c r="I7" s="7"/>
      <c r="J7" s="4" t="s">
        <v>16</v>
      </c>
      <c r="K7" s="4" t="s">
        <v>16</v>
      </c>
      <c r="L7" s="4" t="s">
        <v>16</v>
      </c>
      <c r="M7" s="5" t="s">
        <v>17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2"/>
      <c r="U7" s="2"/>
      <c r="V7" s="7"/>
      <c r="W7" s="7"/>
      <c r="X7" s="2"/>
      <c r="Y7" s="6" t="s">
        <v>24</v>
      </c>
      <c r="Z7" s="6" t="s">
        <v>24</v>
      </c>
      <c r="AA7" s="2"/>
      <c r="AB7" s="2"/>
      <c r="AC7" s="7"/>
      <c r="AD7" s="7"/>
      <c r="AE7" s="2"/>
      <c r="AF7" s="2"/>
      <c r="AG7" s="2"/>
      <c r="AH7" s="2"/>
      <c r="AI7" s="2"/>
      <c r="AJ7" s="7"/>
    </row>
    <row r="8" spans="1:36" x14ac:dyDescent="0.2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6" t="s">
        <v>24</v>
      </c>
      <c r="G8" s="6" t="s">
        <v>28</v>
      </c>
      <c r="H8" s="7"/>
      <c r="I8" s="7"/>
      <c r="J8" s="6" t="s">
        <v>24</v>
      </c>
      <c r="K8" s="4" t="s">
        <v>16</v>
      </c>
      <c r="L8" s="4" t="s">
        <v>16</v>
      </c>
      <c r="M8" s="4" t="s">
        <v>16</v>
      </c>
      <c r="N8" s="5" t="s">
        <v>17</v>
      </c>
      <c r="O8" s="7"/>
      <c r="P8" s="7"/>
      <c r="Q8" s="4" t="s">
        <v>16</v>
      </c>
      <c r="R8" s="4" t="s">
        <v>16</v>
      </c>
      <c r="S8" s="4" t="s">
        <v>16</v>
      </c>
      <c r="T8" s="2"/>
      <c r="U8" s="2"/>
      <c r="V8" s="7"/>
      <c r="W8" s="7"/>
      <c r="X8" s="2"/>
      <c r="Y8" s="2"/>
      <c r="Z8" s="2"/>
      <c r="AA8" s="2"/>
      <c r="AB8" s="2"/>
      <c r="AC8" s="7"/>
      <c r="AD8" s="7"/>
      <c r="AE8" s="2"/>
      <c r="AF8" s="2"/>
      <c r="AG8" s="2"/>
      <c r="AH8" s="2"/>
      <c r="AI8" s="2"/>
      <c r="AJ8" s="7"/>
    </row>
    <row r="9" spans="1:36" x14ac:dyDescent="0.2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5" t="s">
        <v>17</v>
      </c>
      <c r="G9" s="6" t="s">
        <v>28</v>
      </c>
      <c r="H9" s="7"/>
      <c r="I9" s="7"/>
      <c r="J9" s="5" t="s">
        <v>17</v>
      </c>
      <c r="K9" s="4" t="s">
        <v>16</v>
      </c>
      <c r="L9" s="4" t="s">
        <v>16</v>
      </c>
      <c r="M9" s="4" t="s">
        <v>16</v>
      </c>
      <c r="N9" s="5" t="s">
        <v>17</v>
      </c>
      <c r="O9" s="7"/>
      <c r="P9" s="7"/>
      <c r="Q9" s="4" t="s">
        <v>16</v>
      </c>
      <c r="R9" s="4" t="s">
        <v>16</v>
      </c>
      <c r="S9" s="4" t="s">
        <v>16</v>
      </c>
      <c r="T9" s="2"/>
      <c r="U9" s="2"/>
      <c r="V9" s="7"/>
      <c r="W9" s="7"/>
      <c r="X9" s="6" t="s">
        <v>24</v>
      </c>
      <c r="Y9" s="2"/>
      <c r="Z9" s="2"/>
      <c r="AA9" s="2"/>
      <c r="AB9" s="2"/>
      <c r="AC9" s="7"/>
      <c r="AD9" s="7"/>
      <c r="AE9" s="2"/>
      <c r="AF9" s="2"/>
      <c r="AG9" s="2"/>
      <c r="AH9" s="2"/>
      <c r="AI9" s="2"/>
      <c r="AJ9" s="7"/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30</v>
      </c>
      <c r="B14" s="2">
        <f>COUNTIF(F3:AI3,"WFO")</f>
        <v>6</v>
      </c>
      <c r="C14" s="2">
        <f>COUNTIF(H3:AI3,"WFH")</f>
        <v>2</v>
      </c>
    </row>
    <row r="15" spans="1:36" x14ac:dyDescent="0.25">
      <c r="A15" s="2" t="s">
        <v>29</v>
      </c>
      <c r="B15" s="2">
        <f>COUNTIF(F4:AI4,"WFO")</f>
        <v>4</v>
      </c>
      <c r="C15" s="2">
        <f>COUNTIF(H4:AI4,"WFH")</f>
        <v>1</v>
      </c>
    </row>
    <row r="16" spans="1:36" x14ac:dyDescent="0.25">
      <c r="A16" s="2" t="s">
        <v>12</v>
      </c>
      <c r="B16" s="2">
        <f t="shared" ref="B16:B19" si="0">COUNTIF(F6:AI6,"WFO")</f>
        <v>5</v>
      </c>
      <c r="C16" s="2">
        <f t="shared" ref="C16:C19" si="1">COUNTIF(H6:AI6,"WFH")</f>
        <v>2</v>
      </c>
    </row>
    <row r="17" spans="1:3" x14ac:dyDescent="0.25">
      <c r="A17" s="2" t="s">
        <v>31</v>
      </c>
      <c r="B17" s="2">
        <f t="shared" si="0"/>
        <v>6</v>
      </c>
      <c r="C17" s="2">
        <f t="shared" si="1"/>
        <v>2</v>
      </c>
    </row>
    <row r="18" spans="1:3" x14ac:dyDescent="0.25">
      <c r="A18" s="2" t="s">
        <v>19</v>
      </c>
      <c r="B18" s="2">
        <f t="shared" si="0"/>
        <v>6</v>
      </c>
      <c r="C18" s="2">
        <f t="shared" si="1"/>
        <v>1</v>
      </c>
    </row>
    <row r="19" spans="1:3" x14ac:dyDescent="0.25">
      <c r="A19" s="2" t="s">
        <v>20</v>
      </c>
      <c r="B19" s="2">
        <f t="shared" si="0"/>
        <v>6</v>
      </c>
      <c r="C19" s="2">
        <f t="shared" si="1"/>
        <v>2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8A644-1993-49C0-933B-42395C786DC4}">
  <dimension ref="A1:AI19"/>
  <sheetViews>
    <sheetView tabSelected="1" workbookViewId="0">
      <pane xSplit="1" topLeftCell="I1" activePane="topRight" state="frozen"/>
      <selection pane="topRight" activeCell="O5" sqref="O5"/>
    </sheetView>
  </sheetViews>
  <sheetFormatPr defaultRowHeight="15" x14ac:dyDescent="0.25"/>
  <cols>
    <col min="1" max="1" width="16.1406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8" width="9.42578125" bestFit="1" customWidth="1"/>
    <col min="9" max="9" width="11.5703125" bestFit="1" customWidth="1"/>
    <col min="10" max="14" width="9.42578125" bestFit="1" customWidth="1"/>
    <col min="15" max="15" width="10.42578125" bestFit="1" customWidth="1"/>
    <col min="16" max="16" width="11.5703125" bestFit="1" customWidth="1"/>
    <col min="17" max="22" width="10.42578125" bestFit="1" customWidth="1"/>
    <col min="23" max="23" width="11.5703125" bestFit="1" customWidth="1"/>
    <col min="24" max="29" width="10.42578125" bestFit="1" customWidth="1"/>
    <col min="30" max="30" width="11.5703125" bestFit="1" customWidth="1"/>
    <col min="31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46327</v>
      </c>
      <c r="G1" s="1">
        <v>46328</v>
      </c>
      <c r="H1" s="1">
        <v>46329</v>
      </c>
      <c r="I1" s="1">
        <v>46330</v>
      </c>
      <c r="J1" s="1">
        <v>46331</v>
      </c>
      <c r="K1" s="1">
        <v>46332</v>
      </c>
      <c r="L1" s="1">
        <v>46333</v>
      </c>
      <c r="M1" s="1">
        <v>46334</v>
      </c>
      <c r="N1" s="1">
        <v>46335</v>
      </c>
      <c r="O1" s="1">
        <v>46336</v>
      </c>
      <c r="P1" s="1">
        <v>46337</v>
      </c>
      <c r="Q1" s="1">
        <v>46338</v>
      </c>
      <c r="R1" s="1">
        <v>46339</v>
      </c>
      <c r="S1" s="1">
        <v>46340</v>
      </c>
      <c r="T1" s="1">
        <v>46341</v>
      </c>
      <c r="U1" s="1">
        <v>46342</v>
      </c>
      <c r="V1" s="1">
        <v>46343</v>
      </c>
      <c r="W1" s="1">
        <v>46344</v>
      </c>
      <c r="X1" s="1">
        <v>46345</v>
      </c>
      <c r="Y1" s="1">
        <v>46346</v>
      </c>
      <c r="Z1" s="1">
        <v>46347</v>
      </c>
      <c r="AA1" s="1">
        <v>46348</v>
      </c>
      <c r="AB1" s="1">
        <v>46349</v>
      </c>
      <c r="AC1" s="1">
        <v>46350</v>
      </c>
      <c r="AD1" s="1">
        <v>46351</v>
      </c>
      <c r="AE1" s="1">
        <v>46352</v>
      </c>
      <c r="AF1" s="1">
        <v>46353</v>
      </c>
      <c r="AG1" s="1">
        <v>46354</v>
      </c>
      <c r="AH1" s="1">
        <v>46355</v>
      </c>
      <c r="AI1" s="1">
        <v>46356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2"/>
      <c r="H3" s="2"/>
      <c r="I3" s="2"/>
      <c r="J3" s="2"/>
      <c r="K3" s="2"/>
      <c r="L3" s="7"/>
      <c r="M3" s="7"/>
      <c r="N3" s="2"/>
      <c r="O3" s="6" t="s">
        <v>28</v>
      </c>
      <c r="P3" s="2"/>
      <c r="Q3" s="2"/>
      <c r="R3" s="2"/>
      <c r="S3" s="7"/>
      <c r="T3" s="7"/>
      <c r="U3" s="2"/>
      <c r="V3" s="2"/>
      <c r="W3" s="2"/>
      <c r="X3" s="2"/>
      <c r="Y3" s="2"/>
      <c r="Z3" s="7"/>
      <c r="AA3" s="7"/>
      <c r="AB3" s="2"/>
      <c r="AC3" s="2"/>
      <c r="AD3" s="2"/>
      <c r="AE3" s="2"/>
      <c r="AF3" s="2"/>
      <c r="AG3" s="7"/>
      <c r="AH3" s="7"/>
      <c r="AI3" s="2"/>
    </row>
    <row r="4" spans="1:35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2"/>
      <c r="H4" s="2"/>
      <c r="I4" s="2"/>
      <c r="J4" s="2"/>
      <c r="K4" s="2"/>
      <c r="L4" s="7"/>
      <c r="M4" s="7"/>
      <c r="N4" s="2"/>
      <c r="O4" s="6" t="s">
        <v>28</v>
      </c>
      <c r="P4" s="2"/>
      <c r="Q4" s="2"/>
      <c r="R4" s="2"/>
      <c r="S4" s="7"/>
      <c r="T4" s="7"/>
      <c r="U4" s="2"/>
      <c r="V4" s="2"/>
      <c r="W4" s="2"/>
      <c r="X4" s="2"/>
      <c r="Y4" s="2"/>
      <c r="Z4" s="7"/>
      <c r="AA4" s="7"/>
      <c r="AB4" s="2"/>
      <c r="AC4" s="2"/>
      <c r="AD4" s="2"/>
      <c r="AE4" s="2"/>
      <c r="AF4" s="2"/>
      <c r="AG4" s="7"/>
      <c r="AH4" s="7"/>
      <c r="AI4" s="2"/>
    </row>
    <row r="5" spans="1:35" x14ac:dyDescent="0.2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2"/>
      <c r="H5" s="2"/>
      <c r="I5" s="2"/>
      <c r="J5" s="2"/>
      <c r="K5" s="2"/>
      <c r="L5" s="7"/>
      <c r="M5" s="7"/>
      <c r="N5" s="6" t="s">
        <v>24</v>
      </c>
      <c r="O5" s="6" t="s">
        <v>28</v>
      </c>
      <c r="P5" s="6" t="s">
        <v>24</v>
      </c>
      <c r="Q5" s="6" t="s">
        <v>24</v>
      </c>
      <c r="R5" s="6" t="s">
        <v>24</v>
      </c>
      <c r="S5" s="7"/>
      <c r="T5" s="7"/>
      <c r="U5" s="2"/>
      <c r="V5" s="2"/>
      <c r="W5" s="2"/>
      <c r="X5" s="2"/>
      <c r="Y5" s="2"/>
      <c r="Z5" s="7"/>
      <c r="AA5" s="7"/>
      <c r="AB5" s="2"/>
      <c r="AC5" s="2"/>
      <c r="AD5" s="2"/>
      <c r="AE5" s="2"/>
      <c r="AF5" s="2"/>
      <c r="AG5" s="7"/>
      <c r="AH5" s="7"/>
      <c r="AI5" s="2"/>
    </row>
    <row r="6" spans="1:35" x14ac:dyDescent="0.2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7"/>
      <c r="G6" s="2"/>
      <c r="H6" s="2"/>
      <c r="I6" s="2"/>
      <c r="J6" s="2"/>
      <c r="K6" s="6" t="s">
        <v>24</v>
      </c>
      <c r="L6" s="7"/>
      <c r="M6" s="7"/>
      <c r="N6" s="6" t="s">
        <v>24</v>
      </c>
      <c r="O6" s="6" t="s">
        <v>28</v>
      </c>
      <c r="P6" s="2"/>
      <c r="Q6" s="2"/>
      <c r="R6" s="2"/>
      <c r="S6" s="7"/>
      <c r="T6" s="7"/>
      <c r="U6" s="2"/>
      <c r="V6" s="2"/>
      <c r="W6" s="2"/>
      <c r="X6" s="2"/>
      <c r="Y6" s="2"/>
      <c r="Z6" s="7"/>
      <c r="AA6" s="7"/>
      <c r="AB6" s="2"/>
      <c r="AC6" s="2"/>
      <c r="AD6" s="2"/>
      <c r="AE6" s="2"/>
      <c r="AF6" s="2"/>
      <c r="AG6" s="7"/>
      <c r="AH6" s="7"/>
      <c r="AI6" s="2"/>
    </row>
    <row r="7" spans="1:35" x14ac:dyDescent="0.2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7"/>
      <c r="G7" s="2"/>
      <c r="H7" s="2"/>
      <c r="I7" s="2"/>
      <c r="J7" s="2"/>
      <c r="K7" s="2"/>
      <c r="L7" s="7"/>
      <c r="M7" s="7"/>
      <c r="N7" s="2"/>
      <c r="O7" s="6" t="s">
        <v>28</v>
      </c>
      <c r="P7" s="2"/>
      <c r="Q7" s="2"/>
      <c r="R7" s="2"/>
      <c r="S7" s="7"/>
      <c r="T7" s="7"/>
      <c r="U7" s="2"/>
      <c r="V7" s="2"/>
      <c r="W7" s="2"/>
      <c r="X7" s="2"/>
      <c r="Y7" s="2"/>
      <c r="Z7" s="7"/>
      <c r="AA7" s="7"/>
      <c r="AB7" s="2"/>
      <c r="AC7" s="2"/>
      <c r="AD7" s="2"/>
      <c r="AE7" s="2"/>
      <c r="AF7" s="2"/>
      <c r="AG7" s="7"/>
      <c r="AH7" s="7"/>
      <c r="AI7" s="2"/>
    </row>
    <row r="8" spans="1:35" x14ac:dyDescent="0.2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7"/>
      <c r="G8" s="2"/>
      <c r="H8" s="2"/>
      <c r="I8" s="2"/>
      <c r="J8" s="2"/>
      <c r="K8" s="2"/>
      <c r="L8" s="7"/>
      <c r="M8" s="7"/>
      <c r="N8" s="2"/>
      <c r="O8" s="6" t="s">
        <v>28</v>
      </c>
      <c r="P8" s="2"/>
      <c r="Q8" s="2"/>
      <c r="R8" s="2"/>
      <c r="S8" s="7"/>
      <c r="T8" s="7"/>
      <c r="U8" s="6" t="s">
        <v>24</v>
      </c>
      <c r="V8" s="2"/>
      <c r="W8" s="2"/>
      <c r="X8" s="2"/>
      <c r="Y8" s="2"/>
      <c r="Z8" s="7"/>
      <c r="AA8" s="7"/>
      <c r="AB8" s="2"/>
      <c r="AC8" s="2"/>
      <c r="AD8" s="2"/>
      <c r="AE8" s="2"/>
      <c r="AF8" s="2"/>
      <c r="AG8" s="7"/>
      <c r="AH8" s="7"/>
      <c r="AI8" s="2"/>
    </row>
    <row r="9" spans="1:35" x14ac:dyDescent="0.2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7"/>
      <c r="G9" s="2"/>
      <c r="H9" s="2"/>
      <c r="I9" s="2"/>
      <c r="J9" s="2"/>
      <c r="K9" s="2"/>
      <c r="L9" s="7"/>
      <c r="M9" s="7"/>
      <c r="N9" s="6" t="s">
        <v>24</v>
      </c>
      <c r="O9" s="6" t="s">
        <v>28</v>
      </c>
      <c r="P9" s="2"/>
      <c r="Q9" s="2"/>
      <c r="R9" s="2"/>
      <c r="S9" s="7"/>
      <c r="T9" s="7"/>
      <c r="U9" s="2"/>
      <c r="V9" s="2"/>
      <c r="W9" s="2"/>
      <c r="X9" s="2"/>
      <c r="Y9" s="2"/>
      <c r="Z9" s="7"/>
      <c r="AA9" s="7"/>
      <c r="AB9" s="2"/>
      <c r="AC9" s="2"/>
      <c r="AD9" s="2"/>
      <c r="AE9" s="2"/>
      <c r="AF9" s="2"/>
      <c r="AG9" s="7"/>
      <c r="AH9" s="7"/>
      <c r="AI9" s="2"/>
    </row>
    <row r="13" spans="1:35" x14ac:dyDescent="0.25">
      <c r="A13" s="9" t="s">
        <v>1</v>
      </c>
      <c r="B13" s="2" t="s">
        <v>27</v>
      </c>
      <c r="C13" s="2" t="s">
        <v>26</v>
      </c>
    </row>
    <row r="14" spans="1:35" x14ac:dyDescent="0.25">
      <c r="A14" s="2" t="s">
        <v>30</v>
      </c>
      <c r="B14" s="2">
        <f>COUNTIF(F3:AI3,"WFO")</f>
        <v>0</v>
      </c>
      <c r="C14" s="2">
        <f>COUNTIF(H3:AI3,"WFH")</f>
        <v>0</v>
      </c>
    </row>
    <row r="15" spans="1:35" x14ac:dyDescent="0.25">
      <c r="A15" s="2" t="s">
        <v>29</v>
      </c>
      <c r="B15" s="2">
        <f>COUNTIF(F4:AI4,"WFO")</f>
        <v>0</v>
      </c>
      <c r="C15" s="2">
        <f>COUNTIF(H4:AI4,"WFH")</f>
        <v>0</v>
      </c>
    </row>
    <row r="16" spans="1:35" x14ac:dyDescent="0.25">
      <c r="A16" s="2" t="s">
        <v>12</v>
      </c>
      <c r="B16" s="2">
        <f t="shared" ref="B16:B19" si="0">COUNTIF(F6:AI6,"WFO")</f>
        <v>0</v>
      </c>
      <c r="C16" s="2">
        <f t="shared" ref="C16:C19" si="1">COUNTIF(H6:AI6,"WFH")</f>
        <v>0</v>
      </c>
    </row>
    <row r="17" spans="1:3" x14ac:dyDescent="0.25">
      <c r="A17" s="2" t="s">
        <v>31</v>
      </c>
      <c r="B17" s="2">
        <f t="shared" si="0"/>
        <v>0</v>
      </c>
      <c r="C17" s="2">
        <f t="shared" si="1"/>
        <v>0</v>
      </c>
    </row>
    <row r="18" spans="1:3" x14ac:dyDescent="0.25">
      <c r="A18" s="2" t="s">
        <v>19</v>
      </c>
      <c r="B18" s="2">
        <f t="shared" si="0"/>
        <v>0</v>
      </c>
      <c r="C18" s="2">
        <f t="shared" si="1"/>
        <v>0</v>
      </c>
    </row>
    <row r="19" spans="1:3" x14ac:dyDescent="0.25">
      <c r="A19" s="2" t="s">
        <v>20</v>
      </c>
      <c r="B19" s="2">
        <f t="shared" si="0"/>
        <v>0</v>
      </c>
      <c r="C19" s="2">
        <f t="shared" si="1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05419-3E5B-44D5-9A4D-7C953122A519}">
  <dimension ref="A1:AJ19"/>
  <sheetViews>
    <sheetView workbookViewId="0">
      <pane xSplit="1" topLeftCell="B1" activePane="topRight" state="frozen"/>
      <selection pane="topRight" activeCell="K29" sqref="K29"/>
    </sheetView>
  </sheetViews>
  <sheetFormatPr defaultRowHeight="15" x14ac:dyDescent="0.25"/>
  <cols>
    <col min="1" max="1" width="25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9.42578125" bestFit="1" customWidth="1"/>
    <col min="7" max="7" width="11.5703125" bestFit="1" customWidth="1"/>
    <col min="8" max="13" width="9.42578125" bestFit="1" customWidth="1"/>
    <col min="14" max="14" width="11.5703125" bestFit="1" customWidth="1"/>
    <col min="15" max="20" width="10.42578125" bestFit="1" customWidth="1"/>
    <col min="21" max="21" width="11.5703125" bestFit="1" customWidth="1"/>
    <col min="22" max="27" width="10.42578125" bestFit="1" customWidth="1"/>
    <col min="28" max="28" width="11.5703125" bestFit="1" customWidth="1"/>
    <col min="29" max="34" width="10.42578125" bestFit="1" customWidth="1"/>
    <col min="35" max="35" width="11.5703125" bestFit="1" customWidth="1"/>
    <col min="36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46357</v>
      </c>
      <c r="G1" s="1">
        <v>46358</v>
      </c>
      <c r="H1" s="1">
        <v>46359</v>
      </c>
      <c r="I1" s="1">
        <v>46360</v>
      </c>
      <c r="J1" s="1">
        <v>46361</v>
      </c>
      <c r="K1" s="1">
        <v>46362</v>
      </c>
      <c r="L1" s="1">
        <v>46363</v>
      </c>
      <c r="M1" s="1">
        <v>46364</v>
      </c>
      <c r="N1" s="1">
        <v>46365</v>
      </c>
      <c r="O1" s="1">
        <v>46366</v>
      </c>
      <c r="P1" s="1">
        <v>46367</v>
      </c>
      <c r="Q1" s="1">
        <v>46368</v>
      </c>
      <c r="R1" s="1">
        <v>46369</v>
      </c>
      <c r="S1" s="1">
        <v>46370</v>
      </c>
      <c r="T1" s="1">
        <v>46371</v>
      </c>
      <c r="U1" s="1">
        <v>46372</v>
      </c>
      <c r="V1" s="1">
        <v>46373</v>
      </c>
      <c r="W1" s="1">
        <v>46374</v>
      </c>
      <c r="X1" s="1">
        <v>46375</v>
      </c>
      <c r="Y1" s="1">
        <v>46376</v>
      </c>
      <c r="Z1" s="1">
        <v>46377</v>
      </c>
      <c r="AA1" s="1">
        <v>46378</v>
      </c>
      <c r="AB1" s="1">
        <v>46379</v>
      </c>
      <c r="AC1" s="1">
        <v>46380</v>
      </c>
      <c r="AD1" s="1">
        <v>46381</v>
      </c>
      <c r="AE1" s="1">
        <v>46382</v>
      </c>
      <c r="AF1" s="1">
        <v>46383</v>
      </c>
      <c r="AG1" s="1">
        <v>46384</v>
      </c>
      <c r="AH1" s="1">
        <v>46385</v>
      </c>
      <c r="AI1" s="1">
        <v>46386</v>
      </c>
      <c r="AJ1" s="1">
        <v>46387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2"/>
      <c r="J3" s="7"/>
      <c r="K3" s="7"/>
      <c r="L3" s="2"/>
      <c r="M3" s="2"/>
      <c r="N3" s="2"/>
      <c r="O3" s="2"/>
      <c r="P3" s="2"/>
      <c r="Q3" s="7"/>
      <c r="R3" s="7"/>
      <c r="S3" s="2"/>
      <c r="T3" s="2"/>
      <c r="U3" s="2"/>
      <c r="V3" s="2"/>
      <c r="W3" s="2"/>
      <c r="X3" s="7"/>
      <c r="Y3" s="7"/>
      <c r="Z3" s="2"/>
      <c r="AA3" s="2"/>
      <c r="AB3" s="2"/>
      <c r="AC3" s="2"/>
      <c r="AD3" s="6" t="s">
        <v>28</v>
      </c>
      <c r="AE3" s="7"/>
      <c r="AF3" s="7"/>
      <c r="AG3" s="2"/>
      <c r="AH3" s="2"/>
      <c r="AI3" s="2"/>
      <c r="AJ3" s="2"/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2"/>
      <c r="G4" s="2"/>
      <c r="H4" s="2"/>
      <c r="I4" s="2"/>
      <c r="J4" s="7"/>
      <c r="K4" s="7"/>
      <c r="L4" s="2"/>
      <c r="M4" s="2"/>
      <c r="N4" s="2"/>
      <c r="O4" s="2"/>
      <c r="P4" s="2"/>
      <c r="Q4" s="7"/>
      <c r="R4" s="7"/>
      <c r="S4" s="2"/>
      <c r="T4" s="2"/>
      <c r="U4" s="2"/>
      <c r="V4" s="2"/>
      <c r="W4" s="2"/>
      <c r="X4" s="7"/>
      <c r="Y4" s="7"/>
      <c r="Z4" s="2"/>
      <c r="AA4" s="2"/>
      <c r="AB4" s="2"/>
      <c r="AC4" s="2"/>
      <c r="AD4" s="6" t="s">
        <v>28</v>
      </c>
      <c r="AE4" s="7"/>
      <c r="AF4" s="7"/>
      <c r="AG4" s="2"/>
      <c r="AH4" s="2"/>
      <c r="AI4" s="2"/>
      <c r="AJ4" s="2"/>
    </row>
    <row r="5" spans="1:36" x14ac:dyDescent="0.2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2"/>
      <c r="G5" s="2"/>
      <c r="H5" s="2"/>
      <c r="I5" s="2"/>
      <c r="J5" s="7"/>
      <c r="K5" s="7"/>
      <c r="L5" s="2"/>
      <c r="M5" s="2"/>
      <c r="N5" s="2"/>
      <c r="O5" s="2"/>
      <c r="P5" s="2"/>
      <c r="Q5" s="7"/>
      <c r="R5" s="7"/>
      <c r="S5" s="2"/>
      <c r="T5" s="2"/>
      <c r="U5" s="2"/>
      <c r="V5" s="2"/>
      <c r="W5" s="2"/>
      <c r="X5" s="7"/>
      <c r="Y5" s="7"/>
      <c r="Z5" s="2"/>
      <c r="AA5" s="6" t="s">
        <v>28</v>
      </c>
      <c r="AB5" s="6" t="s">
        <v>28</v>
      </c>
      <c r="AC5" s="6" t="s">
        <v>28</v>
      </c>
      <c r="AD5" s="6"/>
      <c r="AE5" s="7"/>
      <c r="AF5" s="7"/>
      <c r="AG5" s="2"/>
      <c r="AH5" s="2"/>
      <c r="AI5" s="2"/>
      <c r="AJ5" s="2"/>
    </row>
    <row r="6" spans="1:36" x14ac:dyDescent="0.2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2"/>
      <c r="M6" s="2"/>
      <c r="N6" s="2"/>
      <c r="O6" s="2"/>
      <c r="P6" s="2"/>
      <c r="Q6" s="7"/>
      <c r="R6" s="7"/>
      <c r="S6" s="2"/>
      <c r="T6" s="2"/>
      <c r="U6" s="2"/>
      <c r="V6" s="2"/>
      <c r="W6" s="2"/>
      <c r="X6" s="7"/>
      <c r="Y6" s="7"/>
      <c r="Z6" s="2"/>
      <c r="AA6" s="2"/>
      <c r="AB6" s="2"/>
      <c r="AC6" s="2"/>
      <c r="AD6" s="6" t="s">
        <v>28</v>
      </c>
      <c r="AE6" s="7"/>
      <c r="AF6" s="7"/>
      <c r="AG6" s="2"/>
      <c r="AH6" s="2"/>
      <c r="AI6" s="2"/>
      <c r="AJ6" s="2"/>
    </row>
    <row r="7" spans="1:36" x14ac:dyDescent="0.2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2"/>
      <c r="G7" s="2"/>
      <c r="H7" s="2"/>
      <c r="I7" s="2"/>
      <c r="J7" s="7"/>
      <c r="K7" s="7"/>
      <c r="L7" s="2"/>
      <c r="M7" s="2"/>
      <c r="N7" s="2"/>
      <c r="O7" s="2"/>
      <c r="P7" s="2"/>
      <c r="Q7" s="7"/>
      <c r="R7" s="7"/>
      <c r="S7" s="2"/>
      <c r="T7" s="2"/>
      <c r="U7" s="2"/>
      <c r="V7" s="2"/>
      <c r="W7" s="2"/>
      <c r="X7" s="7"/>
      <c r="Y7" s="7"/>
      <c r="Z7" s="2"/>
      <c r="AA7" s="2"/>
      <c r="AB7" s="2"/>
      <c r="AC7" s="2"/>
      <c r="AD7" s="6" t="s">
        <v>28</v>
      </c>
      <c r="AE7" s="7"/>
      <c r="AF7" s="7"/>
      <c r="AG7" s="2"/>
      <c r="AH7" s="2"/>
      <c r="AI7" s="2"/>
      <c r="AJ7" s="2"/>
    </row>
    <row r="8" spans="1:36" x14ac:dyDescent="0.2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2"/>
      <c r="G8" s="2"/>
      <c r="H8" s="2"/>
      <c r="I8" s="2"/>
      <c r="J8" s="7"/>
      <c r="K8" s="7"/>
      <c r="L8" s="2"/>
      <c r="M8" s="2"/>
      <c r="N8" s="2"/>
      <c r="O8" s="2"/>
      <c r="P8" s="2"/>
      <c r="Q8" s="7"/>
      <c r="R8" s="7"/>
      <c r="S8" s="2"/>
      <c r="T8" s="2"/>
      <c r="U8" s="2"/>
      <c r="V8" s="2"/>
      <c r="W8" s="2"/>
      <c r="X8" s="7"/>
      <c r="Y8" s="7"/>
      <c r="Z8" s="2"/>
      <c r="AA8" s="2"/>
      <c r="AB8" s="6" t="s">
        <v>24</v>
      </c>
      <c r="AC8" s="6" t="s">
        <v>24</v>
      </c>
      <c r="AD8" s="6" t="s">
        <v>28</v>
      </c>
      <c r="AE8" s="7"/>
      <c r="AF8" s="7"/>
      <c r="AG8" s="6" t="s">
        <v>24</v>
      </c>
      <c r="AH8" s="2"/>
      <c r="AI8" s="2"/>
      <c r="AJ8" s="2"/>
    </row>
    <row r="9" spans="1:36" x14ac:dyDescent="0.2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2"/>
      <c r="G9" s="2"/>
      <c r="H9" s="2"/>
      <c r="I9" s="2"/>
      <c r="J9" s="7"/>
      <c r="K9" s="7"/>
      <c r="L9" s="2"/>
      <c r="M9" s="2"/>
      <c r="N9" s="2"/>
      <c r="O9" s="2"/>
      <c r="P9" s="2"/>
      <c r="Q9" s="7"/>
      <c r="R9" s="7"/>
      <c r="S9" s="2"/>
      <c r="T9" s="2"/>
      <c r="U9" s="2"/>
      <c r="V9" s="2"/>
      <c r="W9" s="2"/>
      <c r="X9" s="7"/>
      <c r="Y9" s="7"/>
      <c r="Z9" s="6" t="s">
        <v>24</v>
      </c>
      <c r="AA9" s="6" t="s">
        <v>24</v>
      </c>
      <c r="AB9" s="6" t="s">
        <v>24</v>
      </c>
      <c r="AC9" s="6" t="s">
        <v>24</v>
      </c>
      <c r="AD9" s="6" t="s">
        <v>28</v>
      </c>
      <c r="AE9" s="7"/>
      <c r="AF9" s="7"/>
      <c r="AG9" s="6" t="s">
        <v>24</v>
      </c>
      <c r="AH9" s="6" t="s">
        <v>24</v>
      </c>
      <c r="AI9" s="6" t="s">
        <v>24</v>
      </c>
      <c r="AJ9" s="6" t="s">
        <v>24</v>
      </c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30</v>
      </c>
      <c r="B14" s="2">
        <f>COUNTIF(F3:AI3,"WFO")</f>
        <v>0</v>
      </c>
      <c r="C14" s="2">
        <f>COUNTIF(H3:AI3,"WFH")</f>
        <v>0</v>
      </c>
    </row>
    <row r="15" spans="1:36" x14ac:dyDescent="0.25">
      <c r="A15" s="2" t="s">
        <v>29</v>
      </c>
      <c r="B15" s="2">
        <f>COUNTIF(F4:AI4,"WFO")</f>
        <v>0</v>
      </c>
      <c r="C15" s="2">
        <f>COUNTIF(H4:AI4,"WFH")</f>
        <v>0</v>
      </c>
    </row>
    <row r="16" spans="1:36" x14ac:dyDescent="0.25">
      <c r="A16" s="2" t="s">
        <v>12</v>
      </c>
      <c r="B16" s="2">
        <f t="shared" ref="B16:B19" si="0">COUNTIF(F6:AI6,"WFO")</f>
        <v>0</v>
      </c>
      <c r="C16" s="2">
        <f t="shared" ref="C16:C19" si="1">COUNTIF(H6:AI6,"WFH")</f>
        <v>0</v>
      </c>
    </row>
    <row r="17" spans="1:3" x14ac:dyDescent="0.25">
      <c r="A17" s="2" t="s">
        <v>31</v>
      </c>
      <c r="B17" s="2">
        <f t="shared" si="0"/>
        <v>0</v>
      </c>
      <c r="C17" s="2">
        <f t="shared" si="1"/>
        <v>0</v>
      </c>
    </row>
    <row r="18" spans="1:3" x14ac:dyDescent="0.25">
      <c r="A18" s="2" t="s">
        <v>19</v>
      </c>
      <c r="B18" s="2">
        <f t="shared" si="0"/>
        <v>0</v>
      </c>
      <c r="C18" s="2">
        <f t="shared" si="1"/>
        <v>0</v>
      </c>
    </row>
    <row r="19" spans="1:3" x14ac:dyDescent="0.25">
      <c r="A19" s="2" t="s">
        <v>20</v>
      </c>
      <c r="B19" s="2">
        <f t="shared" si="0"/>
        <v>0</v>
      </c>
      <c r="C19" s="2">
        <f t="shared" si="1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  <vt:lpstr>UV-WMS Admin July 2026</vt:lpstr>
      <vt:lpstr>UV-WMS Admin Aug 2026</vt:lpstr>
      <vt:lpstr>UV-WMS Admin Sep 2026</vt:lpstr>
      <vt:lpstr>UV-WMS Admin Oct 2026</vt:lpstr>
      <vt:lpstr>UV-WMS Admin Nov 2026</vt:lpstr>
      <vt:lpstr>UV-WMS Admin Dec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2026-10-14T08:08:00Z</dcterms:modified>
  <cp:category/>
  <cp:contentStatus/>
</cp:coreProperties>
</file>