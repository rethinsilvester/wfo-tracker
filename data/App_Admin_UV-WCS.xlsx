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AEB63D8A-5B15-491D-BC19-EE2152A9B1F6}" xr6:coauthVersionLast="47" xr6:coauthVersionMax="47" xr10:uidLastSave="{00000000-0000-0000-0000-000000000000}"/>
  <bookViews>
    <workbookView xWindow="-120" yWindow="-120" windowWidth="29040" windowHeight="15720" firstSheet="14" activeTab="15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  <sheet name="UV-WMS Admin March 2026" sheetId="15" r:id="rId15"/>
    <sheet name="UV-WMS Admin April 2026" sheetId="16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16" l="1"/>
  <c r="B15" i="16"/>
  <c r="C15" i="16"/>
  <c r="C14" i="16"/>
  <c r="C13" i="16"/>
  <c r="B13" i="16"/>
  <c r="C12" i="16"/>
  <c r="B12" i="16"/>
  <c r="B15" i="15"/>
  <c r="B13" i="15"/>
  <c r="B12" i="15"/>
  <c r="B14" i="15"/>
  <c r="C15" i="15"/>
  <c r="C14" i="15"/>
  <c r="C13" i="15"/>
  <c r="C12" i="15"/>
  <c r="C15" i="14"/>
  <c r="B15" i="14"/>
  <c r="C14" i="14"/>
  <c r="B14" i="14"/>
  <c r="C13" i="14"/>
  <c r="B13" i="14"/>
  <c r="C12" i="14"/>
  <c r="B12" i="14"/>
  <c r="C15" i="13"/>
  <c r="B15" i="13"/>
  <c r="C14" i="13"/>
  <c r="B14" i="13"/>
  <c r="C13" i="13"/>
  <c r="B13" i="13"/>
  <c r="C12" i="13"/>
  <c r="B12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<sst xmlns="http://schemas.openxmlformats.org/spreadsheetml/2006/main" count="2362" uniqueCount="29">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</sst>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4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3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4"/>
    </row>
    <row r="9" spans="1:36" x14ac:dyDescent="0.25">
      <c r="A9" s="8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2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2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2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39" priority="1" operator="lessThan">
      <formula>12</formula>
    </cfRule>
    <cfRule type="cellIs" dxfId="38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25">
      <c r="A10" s="8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2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2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2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37" priority="1" operator="lessThan">
      <formula>12</formula>
    </cfRule>
    <cfRule type="cellIs" dxfId="36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2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2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2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35" priority="2" operator="greaterThan">
      <formula>12</formula>
    </cfRule>
    <cfRule type="cellIs" dxfId="34" priority="4" operator="lessThan">
      <formula>12</formula>
    </cfRule>
  </conditionalFormatting>
  <conditionalFormatting sqref="B12:B14">
    <cfRule type="cellIs" dxfId="33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2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2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2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2" priority="1" operator="greaterThan">
      <formula>11</formula>
    </cfRule>
    <cfRule type="cellIs" dxfId="31" priority="2" operator="lessThan">
      <formula>12</formula>
    </cfRule>
    <cfRule type="cellIs" dxfId="30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2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2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2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9" priority="1" operator="greaterThan">
      <formula>11</formula>
    </cfRule>
    <cfRule type="cellIs" dxfId="28" priority="2" operator="lessThan">
      <formula>12</formula>
    </cfRule>
    <cfRule type="cellIs" dxfId="27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25">
      <c r="A11" s="9" t="s">
        <v>1</v>
      </c>
      <c r="B11" s="2" t="s">
        <v>27</v>
      </c>
      <c r="C11" s="2" t="s">
        <v>26</v>
      </c>
    </row>
    <row r="12" spans="1:37" x14ac:dyDescent="0.2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2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2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2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2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2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2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2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2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2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2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5"/>
  <sheetViews>
    <sheetView workbookViewId="0">
      <selection activeCell="V28" sqref="V28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5" t="s">
        <v>17</v>
      </c>
      <c r="H6" s="7"/>
      <c r="I6" s="7"/>
      <c r="J6" s="4" t="s">
        <v>16</v>
      </c>
      <c r="K6" s="4" t="s">
        <v>16</v>
      </c>
      <c r="L6" s="4" t="s">
        <v>16</v>
      </c>
      <c r="M6" s="5" t="s">
        <v>17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5" t="s">
        <v>17</v>
      </c>
      <c r="U6" s="5" t="s">
        <v>17</v>
      </c>
      <c r="V6" s="7"/>
      <c r="W6" s="7"/>
      <c r="X6" s="4" t="s">
        <v>16</v>
      </c>
      <c r="Y6" s="4" t="s">
        <v>16</v>
      </c>
      <c r="Z6" s="4" t="s">
        <v>16</v>
      </c>
      <c r="AA6" s="5" t="s">
        <v>17</v>
      </c>
      <c r="AB6" s="5" t="s">
        <v>17</v>
      </c>
      <c r="AC6" s="7"/>
      <c r="AD6" s="7"/>
      <c r="AE6" s="6" t="s">
        <v>28</v>
      </c>
      <c r="AF6" s="4" t="s">
        <v>16</v>
      </c>
      <c r="AG6" s="4" t="s">
        <v>16</v>
      </c>
      <c r="AH6" s="6" t="s">
        <v>24</v>
      </c>
      <c r="AI6" s="5" t="s">
        <v>17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COUNTIF(F3:AI3,"WFH")</f>
        <v>9</v>
      </c>
    </row>
    <row r="13" spans="1:36" x14ac:dyDescent="0.25">
      <c r="A13" s="2" t="s">
        <v>19</v>
      </c>
      <c r="B13" s="2">
        <f>COUNTIF(F4:AI4,"WFO")</f>
        <v>11</v>
      </c>
      <c r="C13" s="2">
        <f>COUNTIF(F4:AI4,"WFH")</f>
        <v>4</v>
      </c>
    </row>
    <row r="14" spans="1:36" x14ac:dyDescent="0.25">
      <c r="A14" s="2" t="s">
        <v>20</v>
      </c>
      <c r="B14" s="2">
        <f>COUNTIF(F5:AI5,"WFO")</f>
        <v>10</v>
      </c>
      <c r="C14" s="2">
        <f>COUNTIF(F5:AI5,"WFH")</f>
        <v>9</v>
      </c>
    </row>
    <row r="15" spans="1:36" x14ac:dyDescent="0.25">
      <c r="A15" s="2" t="s">
        <v>23</v>
      </c>
      <c r="B15" s="2">
        <f>COUNTIF(F6:AI6,"WFO")</f>
        <v>11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5"/>
  <sheetViews>
    <sheetView workbookViewId="0">
      <selection activeCell="J4" sqref="J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4" t="s">
        <v>16</v>
      </c>
      <c r="O3" s="5" t="s">
        <v>17</v>
      </c>
      <c r="P3" s="5" t="s">
        <v>17</v>
      </c>
      <c r="Q3" s="5" t="s">
        <v>17</v>
      </c>
      <c r="R3" s="5" t="s">
        <v>17</v>
      </c>
      <c r="S3" s="7"/>
      <c r="T3" s="7"/>
      <c r="U3" s="4" t="s">
        <v>16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5" t="s">
        <v>17</v>
      </c>
      <c r="AD3" s="4" t="s">
        <v>16</v>
      </c>
      <c r="AE3" s="5" t="s">
        <v>17</v>
      </c>
      <c r="AF3" s="5" t="s">
        <v>17</v>
      </c>
      <c r="AG3" s="7"/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5" t="s">
        <v>17</v>
      </c>
      <c r="P4" s="5" t="s">
        <v>17</v>
      </c>
      <c r="Q4" s="4" t="s">
        <v>16</v>
      </c>
      <c r="R4" s="4" t="s">
        <v>16</v>
      </c>
      <c r="S4" s="7"/>
      <c r="T4" s="7"/>
      <c r="U4" s="5" t="s">
        <v>17</v>
      </c>
      <c r="V4" s="5" t="s">
        <v>17</v>
      </c>
      <c r="W4" s="5" t="s">
        <v>17</v>
      </c>
      <c r="X4" s="5" t="s">
        <v>17</v>
      </c>
      <c r="Y4" s="5" t="s">
        <v>17</v>
      </c>
      <c r="Z4" s="7"/>
      <c r="AA4" s="7"/>
      <c r="AB4" s="5" t="s">
        <v>17</v>
      </c>
      <c r="AC4" s="5" t="s">
        <v>17</v>
      </c>
      <c r="AD4" s="5" t="s">
        <v>17</v>
      </c>
      <c r="AE4" s="5" t="s">
        <v>17</v>
      </c>
      <c r="AF4" s="5" t="s">
        <v>17</v>
      </c>
      <c r="AG4" s="7"/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5" t="s">
        <v>17</v>
      </c>
      <c r="V5" s="4" t="s">
        <v>16</v>
      </c>
      <c r="W5" s="4" t="s">
        <v>16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5" t="s">
        <v>17</v>
      </c>
      <c r="AG5" s="7"/>
    </row>
    <row r="6" spans="1:33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5" t="s">
        <v>17</v>
      </c>
      <c r="H6" s="5" t="s">
        <v>17</v>
      </c>
      <c r="I6" s="5" t="s">
        <v>17</v>
      </c>
      <c r="J6" s="5" t="s">
        <v>17</v>
      </c>
      <c r="K6" s="5" t="s">
        <v>17</v>
      </c>
      <c r="L6" s="7"/>
      <c r="M6" s="7"/>
      <c r="N6" s="5" t="s">
        <v>17</v>
      </c>
      <c r="O6" s="5" t="s">
        <v>17</v>
      </c>
      <c r="P6" s="5" t="s">
        <v>17</v>
      </c>
      <c r="Q6" s="5" t="s">
        <v>17</v>
      </c>
      <c r="R6" s="5" t="s">
        <v>17</v>
      </c>
      <c r="S6" s="7"/>
      <c r="T6" s="7"/>
      <c r="U6" s="5" t="s">
        <v>17</v>
      </c>
      <c r="V6" s="5" t="s">
        <v>17</v>
      </c>
      <c r="W6" s="5" t="s">
        <v>17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6" t="s">
        <v>18</v>
      </c>
      <c r="AG6" s="7"/>
    </row>
    <row r="7" spans="1:33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11" spans="1:33" x14ac:dyDescent="0.25">
      <c r="A11" s="9" t="s">
        <v>1</v>
      </c>
      <c r="B11" s="2" t="s">
        <v>27</v>
      </c>
      <c r="C11" s="2" t="s">
        <v>26</v>
      </c>
    </row>
    <row r="12" spans="1:33" x14ac:dyDescent="0.25">
      <c r="A12" s="2" t="s">
        <v>12</v>
      </c>
      <c r="B12" s="2">
        <f>COUNTIF(F3:AG3,"WFO")</f>
        <v>7</v>
      </c>
      <c r="C12" s="2">
        <f>COUNTIF(F3:AG3,"WFH")</f>
        <v>11</v>
      </c>
    </row>
    <row r="13" spans="1:33" x14ac:dyDescent="0.25">
      <c r="A13" s="2" t="s">
        <v>19</v>
      </c>
      <c r="B13" s="2">
        <f>COUNTIF(F4:AG4,"WFO")</f>
        <v>8</v>
      </c>
      <c r="C13" s="2">
        <f>COUNTIF(F4:AG4,"WFH")</f>
        <v>12</v>
      </c>
    </row>
    <row r="14" spans="1:33" x14ac:dyDescent="0.25">
      <c r="A14" s="2" t="s">
        <v>20</v>
      </c>
      <c r="B14" s="2">
        <f>COUNTIF(F5:AG5,"WFO")</f>
        <v>11</v>
      </c>
      <c r="C14" s="2">
        <f>COUNTIF(F5:AG5,"WFH")</f>
        <v>8</v>
      </c>
    </row>
    <row r="15" spans="1:33" x14ac:dyDescent="0.25">
      <c r="A15" s="2" t="s">
        <v>23</v>
      </c>
      <c r="B15" s="2">
        <f>COUNTIF(F6:AG6,"WFO")</f>
        <v>3</v>
      </c>
      <c r="C15" s="2">
        <f>COUNTIF(F6:AG6,"WFH")</f>
        <v>16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154BF-0805-461D-B9A5-E64EDBF4FEB9}">
  <dimension ref="A1:AJ15"/>
  <sheetViews>
    <sheetView workbookViewId="0">
      <selection activeCell="I5" sqref="I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46082</v>
      </c>
      <c r="G1" s="1">
        <v>46083</v>
      </c>
      <c r="H1" s="1">
        <v>46084</v>
      </c>
      <c r="I1" s="1">
        <v>46085</v>
      </c>
      <c r="J1" s="1">
        <v>46086</v>
      </c>
      <c r="K1" s="1">
        <v>46087</v>
      </c>
      <c r="L1" s="1">
        <v>46088</v>
      </c>
      <c r="M1" s="1">
        <v>46089</v>
      </c>
      <c r="N1" s="1">
        <v>46090</v>
      </c>
      <c r="O1" s="1">
        <v>46091</v>
      </c>
      <c r="P1" s="1">
        <v>46092</v>
      </c>
      <c r="Q1" s="1">
        <v>46093</v>
      </c>
      <c r="R1" s="1">
        <v>46094</v>
      </c>
      <c r="S1" s="1">
        <v>46095</v>
      </c>
      <c r="T1" s="1">
        <v>46096</v>
      </c>
      <c r="U1" s="1">
        <v>46097</v>
      </c>
      <c r="V1" s="1">
        <v>46098</v>
      </c>
      <c r="W1" s="1">
        <v>46099</v>
      </c>
      <c r="X1" s="1">
        <v>46100</v>
      </c>
      <c r="Y1" s="1">
        <v>46101</v>
      </c>
      <c r="Z1" s="1">
        <v>46102</v>
      </c>
      <c r="AA1" s="1">
        <v>46103</v>
      </c>
      <c r="AB1" s="1">
        <v>46104</v>
      </c>
      <c r="AC1" s="1">
        <v>46105</v>
      </c>
      <c r="AD1" s="1">
        <v>46106</v>
      </c>
      <c r="AE1" s="1">
        <v>46107</v>
      </c>
      <c r="AF1" s="1">
        <v>46108</v>
      </c>
      <c r="AG1" s="1">
        <v>46109</v>
      </c>
      <c r="AH1" s="1">
        <v>46110</v>
      </c>
      <c r="AI1" s="1">
        <v>46111</v>
      </c>
      <c r="AJ1" s="1">
        <v>46112</v>
      </c>
    </row>
    <row r="2" spans="1:36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  <c r="AJ2" s="1" t="s">
        <v>8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6" t="s">
        <v>24</v>
      </c>
      <c r="Y3" s="5" t="s">
        <v>17</v>
      </c>
      <c r="Z3" s="7"/>
      <c r="AA3" s="7"/>
      <c r="AB3" s="4" t="s">
        <v>16</v>
      </c>
      <c r="AC3" s="4" t="s">
        <v>16</v>
      </c>
      <c r="AD3" s="4" t="s">
        <v>16</v>
      </c>
      <c r="AE3" s="4" t="s">
        <v>16</v>
      </c>
      <c r="AF3" s="5" t="s">
        <v>17</v>
      </c>
      <c r="AG3" s="7"/>
      <c r="AH3" s="7"/>
      <c r="AI3" s="4" t="s">
        <v>16</v>
      </c>
      <c r="AJ3" s="6" t="s">
        <v>18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6" t="s">
        <v>24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6" t="s">
        <v>24</v>
      </c>
      <c r="Z4" s="7"/>
      <c r="AA4" s="7"/>
      <c r="AB4" s="4" t="s">
        <v>16</v>
      </c>
      <c r="AC4" s="4" t="s">
        <v>16</v>
      </c>
      <c r="AD4" s="4" t="s">
        <v>16</v>
      </c>
      <c r="AE4" s="4" t="s">
        <v>16</v>
      </c>
      <c r="AF4" s="5" t="s">
        <v>17</v>
      </c>
      <c r="AG4" s="7"/>
      <c r="AH4" s="7"/>
      <c r="AI4" s="4" t="s">
        <v>16</v>
      </c>
      <c r="AJ4" s="4" t="s">
        <v>16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4" t="s">
        <v>16</v>
      </c>
      <c r="I5" s="5" t="s">
        <v>17</v>
      </c>
      <c r="J5" s="4" t="s">
        <v>16</v>
      </c>
      <c r="K5" s="5" t="s">
        <v>17</v>
      </c>
      <c r="L5" s="7"/>
      <c r="M5" s="7"/>
      <c r="N5" s="4" t="s">
        <v>16</v>
      </c>
      <c r="O5" s="6" t="s">
        <v>24</v>
      </c>
      <c r="P5" s="4" t="s">
        <v>16</v>
      </c>
      <c r="Q5" s="5" t="s">
        <v>17</v>
      </c>
      <c r="R5" s="5" t="s">
        <v>17</v>
      </c>
      <c r="S5" s="7"/>
      <c r="T5" s="7"/>
      <c r="U5" s="4" t="s">
        <v>16</v>
      </c>
      <c r="V5" s="5" t="s">
        <v>17</v>
      </c>
      <c r="W5" s="4" t="s">
        <v>16</v>
      </c>
      <c r="X5" s="5" t="s">
        <v>17</v>
      </c>
      <c r="Y5" s="5" t="s">
        <v>17</v>
      </c>
      <c r="Z5" s="7"/>
      <c r="AA5" s="7"/>
      <c r="AB5" s="4" t="s">
        <v>16</v>
      </c>
      <c r="AC5" s="4" t="s">
        <v>16</v>
      </c>
      <c r="AD5" s="4" t="s">
        <v>16</v>
      </c>
      <c r="AE5" s="4" t="s">
        <v>16</v>
      </c>
      <c r="AF5" s="5" t="s">
        <v>17</v>
      </c>
      <c r="AG5" s="7"/>
      <c r="AH5" s="7"/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5" t="s">
        <v>17</v>
      </c>
      <c r="J6" s="4" t="s">
        <v>16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6" t="s">
        <v>18</v>
      </c>
      <c r="R6" s="4" t="s">
        <v>16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5" t="s">
        <v>17</v>
      </c>
      <c r="AD6" s="4" t="s">
        <v>16</v>
      </c>
      <c r="AE6" s="4" t="s">
        <v>16</v>
      </c>
      <c r="AF6" s="5" t="s">
        <v>17</v>
      </c>
      <c r="AG6" s="7"/>
      <c r="AH6" s="7"/>
      <c r="AI6" s="4" t="s">
        <v>16</v>
      </c>
      <c r="AJ6" s="4" t="s">
        <v>16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COUNTIF(F3:AG3,"WFH")</f>
        <v>6</v>
      </c>
    </row>
    <row r="13" spans="1:36" x14ac:dyDescent="0.25">
      <c r="A13" s="2" t="s">
        <v>19</v>
      </c>
      <c r="B13" s="2">
        <f>COUNTIF(F4:AJ4,"WFO")</f>
        <v>15</v>
      </c>
      <c r="C13" s="2">
        <f>COUNTIF(F4:AG4,"WFH")</f>
        <v>5</v>
      </c>
    </row>
    <row r="14" spans="1:36" x14ac:dyDescent="0.25">
      <c r="A14" s="2" t="s">
        <v>20</v>
      </c>
      <c r="B14" s="2">
        <f>COUNTIF(F5:AJ5,"WFO")</f>
        <v>12</v>
      </c>
      <c r="C14" s="2">
        <f>COUNTIF(F5:AG5,"WFH")</f>
        <v>8</v>
      </c>
    </row>
    <row r="15" spans="1:36" x14ac:dyDescent="0.25">
      <c r="A15" s="2" t="s">
        <v>23</v>
      </c>
      <c r="B15" s="2">
        <f>COUNTIF(F6:AJ6,"WFO")</f>
        <v>15</v>
      </c>
      <c r="C15" s="2">
        <f>COUNTIF(F6:AG6,"WFH")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30E33-32AF-452B-AEB5-3A35260DB102}">
  <dimension ref="A1:AI15"/>
  <sheetViews>
    <sheetView tabSelected="1" topLeftCell="K1" workbookViewId="0">
      <selection activeCell="AF5" sqref="AF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5" width="9.71093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46113</v>
      </c>
      <c r="G1" s="1">
        <v>46114</v>
      </c>
      <c r="H1" s="1">
        <v>46115</v>
      </c>
      <c r="I1" s="1">
        <v>46116</v>
      </c>
      <c r="J1" s="1">
        <v>46117</v>
      </c>
      <c r="K1" s="1">
        <v>46118</v>
      </c>
      <c r="L1" s="1">
        <v>46119</v>
      </c>
      <c r="M1" s="1">
        <v>46120</v>
      </c>
      <c r="N1" s="1">
        <v>46121</v>
      </c>
      <c r="O1" s="1">
        <v>46122</v>
      </c>
      <c r="P1" s="1">
        <v>46123</v>
      </c>
      <c r="Q1" s="1">
        <v>46124</v>
      </c>
      <c r="R1" s="1">
        <v>46125</v>
      </c>
      <c r="S1" s="1">
        <v>46126</v>
      </c>
      <c r="T1" s="1">
        <v>46127</v>
      </c>
      <c r="U1" s="1">
        <v>46128</v>
      </c>
      <c r="V1" s="1">
        <v>46129</v>
      </c>
      <c r="W1" s="1">
        <v>46130</v>
      </c>
      <c r="X1" s="1">
        <v>46131</v>
      </c>
      <c r="Y1" s="1">
        <v>46132</v>
      </c>
      <c r="Z1" s="1">
        <v>46133</v>
      </c>
      <c r="AA1" s="1">
        <v>46134</v>
      </c>
      <c r="AB1" s="1">
        <v>46135</v>
      </c>
      <c r="AC1" s="1">
        <v>46136</v>
      </c>
      <c r="AD1" s="1">
        <v>46137</v>
      </c>
      <c r="AE1" s="1">
        <v>46138</v>
      </c>
      <c r="AF1" s="1">
        <v>46139</v>
      </c>
      <c r="AG1" s="1">
        <v>46140</v>
      </c>
      <c r="AH1" s="1">
        <v>46141</v>
      </c>
      <c r="AI1" s="1">
        <v>46142</v>
      </c>
    </row>
    <row r="2" spans="1:35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2"/>
      <c r="AH3" s="2"/>
      <c r="AI3" s="2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7"/>
      <c r="J4" s="7"/>
      <c r="K4" s="5" t="s">
        <v>17</v>
      </c>
      <c r="L4" s="5" t="s">
        <v>17</v>
      </c>
      <c r="M4" s="5" t="s">
        <v>17</v>
      </c>
      <c r="N4" s="5" t="s">
        <v>17</v>
      </c>
      <c r="O4" s="6" t="s">
        <v>24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4" t="s">
        <v>16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2"/>
      <c r="AH4" s="2"/>
      <c r="AI4" s="2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5" t="s">
        <v>17</v>
      </c>
      <c r="N5" s="4" t="s">
        <v>16</v>
      </c>
      <c r="O5" s="5" t="s">
        <v>17</v>
      </c>
      <c r="P5" s="7"/>
      <c r="Q5" s="7"/>
      <c r="R5" s="4" t="s">
        <v>16</v>
      </c>
      <c r="S5" s="4" t="s">
        <v>16</v>
      </c>
      <c r="T5" s="5" t="s">
        <v>17</v>
      </c>
      <c r="U5" s="4" t="s">
        <v>16</v>
      </c>
      <c r="V5" s="5" t="s">
        <v>17</v>
      </c>
      <c r="W5" s="7"/>
      <c r="X5" s="7"/>
      <c r="Y5" s="4" t="s">
        <v>16</v>
      </c>
      <c r="Z5" s="4" t="s">
        <v>16</v>
      </c>
      <c r="AA5" s="5" t="s">
        <v>17</v>
      </c>
      <c r="AB5" s="4" t="s">
        <v>16</v>
      </c>
      <c r="AC5" s="5" t="s">
        <v>17</v>
      </c>
      <c r="AD5" s="7"/>
      <c r="AE5" s="7"/>
      <c r="AF5" s="4" t="s">
        <v>16</v>
      </c>
      <c r="AG5" s="2"/>
      <c r="AH5" s="2"/>
      <c r="AI5" s="2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7"/>
      <c r="J6" s="7"/>
      <c r="K6" s="4" t="s">
        <v>16</v>
      </c>
      <c r="L6" s="4" t="s">
        <v>16</v>
      </c>
      <c r="M6" s="5" t="s">
        <v>17</v>
      </c>
      <c r="N6" s="4" t="s">
        <v>16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6" t="s">
        <v>18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6" t="s">
        <v>24</v>
      </c>
      <c r="AD6" s="7"/>
      <c r="AE6" s="7"/>
      <c r="AF6" s="6" t="s">
        <v>24</v>
      </c>
      <c r="AG6" s="6" t="s">
        <v>24</v>
      </c>
      <c r="AH6" s="2"/>
      <c r="AI6" s="2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10</v>
      </c>
      <c r="C12" s="2">
        <f>COUNTIF(F3:AG3,"WFH")</f>
        <v>8</v>
      </c>
    </row>
    <row r="13" spans="1:35" x14ac:dyDescent="0.25">
      <c r="A13" s="2" t="s">
        <v>19</v>
      </c>
      <c r="B13" s="2">
        <f>COUNTIF(F4:AI4,"WFO")</f>
        <v>10</v>
      </c>
      <c r="C13" s="2">
        <f>COUNTIF(F4:AG4,"WFH")</f>
        <v>8</v>
      </c>
    </row>
    <row r="14" spans="1:35" x14ac:dyDescent="0.25">
      <c r="A14" s="2" t="s">
        <v>20</v>
      </c>
      <c r="B14" s="2">
        <f>COUNTIF(F5:AI5,"WFO")</f>
        <v>11</v>
      </c>
      <c r="C14" s="2">
        <f>COUNTIF(F5:AG5,"WFH")</f>
        <v>8</v>
      </c>
    </row>
    <row r="15" spans="1:35" x14ac:dyDescent="0.25">
      <c r="A15" s="2" t="s">
        <v>23</v>
      </c>
      <c r="B15" s="2">
        <f>COUNTIF(F6:AI6,"WFO")</f>
        <v>9</v>
      </c>
      <c r="C15" s="2">
        <f>COUNTIF(F6:AG6,"WFH")</f>
        <v>4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  <vt:lpstr>UV-WMS Admin March 2026</vt:lpstr>
      <vt:lpstr>UV-WMS Admin April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2026-04-27T06:26:37Z</dcterms:modified>
  <cp:category/>
  <cp:contentStatus/>
</cp:coreProperties>
</file>