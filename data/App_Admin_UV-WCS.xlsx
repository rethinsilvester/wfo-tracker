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5462FF8B-A8E7-4B3F-B5DB-0B3CB4E75F2C}" xr6:coauthVersionLast="47" xr6:coauthVersionMax="47" xr10:uidLastSave="{00000000-0000-0000-0000-000000000000}"/>
  <bookViews>
    <workbookView xWindow="-120" yWindow="-120" windowWidth="29040" windowHeight="15720" firstSheet="14" activeTab="17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  <sheet name="UV-WMS Admin June 2026" sheetId="18" r:id="rId1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8" l="1"/>
  <c r="B15" i="18"/>
  <c r="C12" i="18"/>
  <c r="B12" i="18"/>
  <c r="C13" i="18"/>
  <c r="B13" i="18"/>
  <c r="C14" i="18"/>
  <c r="B14" i="18"/>
  <c r="C15" i="17"/>
  <c r="B15" i="17"/>
  <c r="C14" i="17"/>
  <c r="B14" i="17"/>
  <c r="C13" i="17"/>
  <c r="B13" i="17"/>
  <c r="C12" i="17"/>
  <c r="B12" i="17"/>
  <c r="B14" i="16"/>
  <c r="B15" i="16"/>
  <c r="C15" i="16"/>
  <c r="C14" i="16"/>
  <c r="C13" i="16"/>
  <c r="B13" i="16"/>
  <c r="C12" i="16"/>
  <c r="B12" i="16"/>
  <c r="B15" i="15"/>
  <c r="B13" i="15"/>
  <c r="B12" i="15"/>
  <c r="B14" i="15"/>
  <c r="C15" i="15"/>
  <c r="C14" i="15"/>
  <c r="C13" i="15"/>
  <c r="C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<sst xmlns="http://schemas.openxmlformats.org/spreadsheetml/2006/main" count="2663" uniqueCount="30">
  <si>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</si>
  <si>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</si>
  <si>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</si>
  <si>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</si>
  <si>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</si>
  <si>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</si>
  <si>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</si>
  <si>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</si>
  <si>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</si>
  <si>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</si>
  <si>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</si>
  <si>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</si>
  <si>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</si>
  <si>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</si>
  <si>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</si>
  <si>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</si>
  <si>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</si>
  <si>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</si>
  <si>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</si>
  <si>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</si>
  <si>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</si>
  <si>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</si>
  <si>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</si>
  <si>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</si>
  <si>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</si>
  <si>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</si>
  <si>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</si>
  <si>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</si>
  <si>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</si>
  <si>
    <t>Ashish Mohanty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</si>
</sst>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4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45" priority="1" operator="lessThan">
      <formula>12</formula>
    </cfRule>
    <cfRule type="cellIs" dxfId="44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43" priority="1" operator="lessThan">
      <formula>12</formula>
    </cfRule>
    <cfRule type="cellIs" dxfId="42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41" priority="2" operator="greaterThan">
      <formula>12</formula>
    </cfRule>
    <cfRule type="cellIs" dxfId="40" priority="4" operator="lessThan">
      <formula>12</formula>
    </cfRule>
  </conditionalFormatting>
  <conditionalFormatting sqref="B12:B14">
    <cfRule type="cellIs" dxfId="39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8" priority="1" operator="greaterThan">
      <formula>11</formula>
    </cfRule>
    <cfRule type="cellIs" dxfId="37" priority="2" operator="lessThan">
      <formula>12</formula>
    </cfRule>
    <cfRule type="cellIs" dxfId="36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workbookViewId="0">
      <selection activeCell="I5" sqref="I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COUNTIF(F3:AG3,"WFH")</f>
        <v>6</v>
      </c>
    </row>
    <row r="13" spans="1:36" x14ac:dyDescent="0.25">
      <c r="A13" s="2" t="s">
        <v>19</v>
      </c>
      <c r="B13" s="2">
        <f>COUNTIF(F4:AJ4,"WFO")</f>
        <v>15</v>
      </c>
      <c r="C13" s="2">
        <f>COUNTIF(F4:AG4,"WFH")</f>
        <v>5</v>
      </c>
    </row>
    <row r="14" spans="1:36" x14ac:dyDescent="0.25">
      <c r="A14" s="2" t="s">
        <v>20</v>
      </c>
      <c r="B14" s="2">
        <f>COUNTIF(F5:AJ5,"WFO")</f>
        <v>12</v>
      </c>
      <c r="C14" s="2">
        <f>COUNTIF(F5:AG5,"WFH")</f>
        <v>8</v>
      </c>
    </row>
    <row r="15" spans="1:36" x14ac:dyDescent="0.25">
      <c r="A15" s="2" t="s">
        <v>23</v>
      </c>
      <c r="B15" s="2">
        <f>COUNTIF(F6:AJ6,"WFO")</f>
        <v>15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5"/>
  <sheetViews>
    <sheetView topLeftCell="I1" workbookViewId="0">
      <selection activeCell="U6" sqref="U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7"/>
      <c r="J6" s="7"/>
      <c r="K6" s="4" t="s">
        <v>16</v>
      </c>
      <c r="L6" s="4" t="s">
        <v>16</v>
      </c>
      <c r="M6" s="5" t="s">
        <v>17</v>
      </c>
      <c r="N6" s="4" t="s">
        <v>16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6" t="s">
        <v>18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6" t="s">
        <v>24</v>
      </c>
      <c r="AD6" s="7"/>
      <c r="AE6" s="7"/>
      <c r="AF6" s="6" t="s">
        <v>24</v>
      </c>
      <c r="AG6" s="6" t="s">
        <v>24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COUNTIF(F3:AG3,"WFH")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COUNTIF(F4:AG4,"WFH")</f>
        <v>8</v>
      </c>
    </row>
    <row r="14" spans="1:35" x14ac:dyDescent="0.25">
      <c r="A14" s="2" t="s">
        <v>20</v>
      </c>
      <c r="B14" s="2">
        <f>COUNTIF(F5:AI5,"WFO")</f>
        <v>12</v>
      </c>
      <c r="C14" s="2">
        <f>COUNTIF(F5:AG5,"WFH")</f>
        <v>8</v>
      </c>
    </row>
    <row r="15" spans="1:35" x14ac:dyDescent="0.25">
      <c r="A15" s="2" t="s">
        <v>23</v>
      </c>
      <c r="B15" s="2">
        <f>COUNTIF(F6:AI6,"WFO")</f>
        <v>11</v>
      </c>
      <c r="C15" s="2">
        <f>COUNTIF(F6:AG6,"WFH")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5"/>
  <sheetViews>
    <sheetView topLeftCell="O1" workbookViewId="0">
      <selection activeCell="W5" sqref="W5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5703125" bestFit="1" customWidth="1"/>
    <col min="7" max="7" width="8.85546875" bestFit="1" customWidth="1"/>
    <col min="8" max="10" width="8.42578125" bestFit="1" customWidth="1"/>
    <col min="11" max="11" width="11.5703125" bestFit="1" customWidth="1"/>
    <col min="13" max="13" width="8.42578125" bestFit="1" customWidth="1"/>
    <col min="14" max="14" width="8.85546875" bestFit="1" customWidth="1"/>
    <col min="15" max="17" width="9.42578125" bestFit="1" customWidth="1"/>
    <col min="18" max="18" width="11.5703125" bestFit="1" customWidth="1"/>
    <col min="19" max="24" width="9.42578125" bestFit="1" customWidth="1"/>
    <col min="25" max="25" width="11.5703125" bestFit="1" customWidth="1"/>
    <col min="26" max="31" width="9.42578125" bestFit="1" customWidth="1"/>
    <col min="32" max="32" width="11.5703125" bestFit="1" customWidth="1"/>
    <col min="33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4" t="s">
        <v>16</v>
      </c>
      <c r="Q3" s="4" t="s">
        <v>16</v>
      </c>
      <c r="R3" s="4" t="s">
        <v>16</v>
      </c>
      <c r="S3" s="5" t="s">
        <v>17</v>
      </c>
      <c r="T3" s="5" t="s">
        <v>17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5" t="s">
        <v>17</v>
      </c>
      <c r="AF3" s="4" t="s">
        <v>16</v>
      </c>
      <c r="AG3" s="5" t="s">
        <v>17</v>
      </c>
      <c r="AH3" s="5" t="s">
        <v>17</v>
      </c>
      <c r="AI3" s="7"/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4" t="s">
        <v>16</v>
      </c>
      <c r="K4" s="4" t="s">
        <v>16</v>
      </c>
      <c r="L4" s="5" t="s">
        <v>17</v>
      </c>
      <c r="M4" s="4" t="s">
        <v>16</v>
      </c>
      <c r="N4" s="7"/>
      <c r="O4" s="7"/>
      <c r="P4" s="4" t="s">
        <v>16</v>
      </c>
      <c r="Q4" s="4" t="s">
        <v>16</v>
      </c>
      <c r="R4" s="4" t="s">
        <v>16</v>
      </c>
      <c r="S4" s="5" t="s">
        <v>17</v>
      </c>
      <c r="T4" s="4" t="s">
        <v>16</v>
      </c>
      <c r="U4" s="7"/>
      <c r="V4" s="7"/>
      <c r="W4" s="4" t="s">
        <v>16</v>
      </c>
      <c r="X4" s="4" t="s">
        <v>16</v>
      </c>
      <c r="Y4" s="4" t="s">
        <v>16</v>
      </c>
      <c r="Z4" s="5" t="s">
        <v>17</v>
      </c>
      <c r="AA4" s="5" t="s">
        <v>17</v>
      </c>
      <c r="AB4" s="7"/>
      <c r="AC4" s="7"/>
      <c r="AD4" s="4" t="s">
        <v>16</v>
      </c>
      <c r="AE4" s="4" t="s">
        <v>16</v>
      </c>
      <c r="AF4" s="4" t="s">
        <v>16</v>
      </c>
      <c r="AG4" s="6" t="s">
        <v>24</v>
      </c>
      <c r="AH4" s="5" t="s">
        <v>17</v>
      </c>
      <c r="AI4" s="7"/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4" t="s">
        <v>16</v>
      </c>
      <c r="K5" s="5" t="s">
        <v>17</v>
      </c>
      <c r="L5" s="4" t="s">
        <v>16</v>
      </c>
      <c r="M5" s="5" t="s">
        <v>17</v>
      </c>
      <c r="N5" s="7"/>
      <c r="O5" s="7"/>
      <c r="P5" s="6" t="s">
        <v>24</v>
      </c>
      <c r="Q5" s="6" t="s">
        <v>24</v>
      </c>
      <c r="R5" s="6" t="s">
        <v>24</v>
      </c>
      <c r="S5" s="6" t="s">
        <v>24</v>
      </c>
      <c r="T5" s="6" t="s">
        <v>24</v>
      </c>
      <c r="U5" s="7"/>
      <c r="V5" s="7"/>
      <c r="W5" s="6" t="s">
        <v>18</v>
      </c>
      <c r="X5" s="4" t="s">
        <v>16</v>
      </c>
      <c r="Y5" s="4" t="s">
        <v>16</v>
      </c>
      <c r="Z5" s="4" t="s">
        <v>16</v>
      </c>
      <c r="AA5" s="5" t="s">
        <v>17</v>
      </c>
      <c r="AB5" s="7"/>
      <c r="AC5" s="7"/>
      <c r="AD5" s="4" t="s">
        <v>16</v>
      </c>
      <c r="AE5" s="4" t="s">
        <v>16</v>
      </c>
      <c r="AF5" s="4" t="s">
        <v>16</v>
      </c>
      <c r="AG5" s="5" t="s">
        <v>17</v>
      </c>
      <c r="AH5" s="5" t="s">
        <v>17</v>
      </c>
      <c r="AI5" s="7"/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7"/>
      <c r="H6" s="7"/>
      <c r="I6" s="4" t="s">
        <v>16</v>
      </c>
      <c r="J6" s="4" t="s">
        <v>16</v>
      </c>
      <c r="K6" s="4" t="s">
        <v>16</v>
      </c>
      <c r="L6" s="5" t="s">
        <v>17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5" t="s">
        <v>17</v>
      </c>
      <c r="U6" s="7"/>
      <c r="V6" s="7"/>
      <c r="W6" s="4" t="s">
        <v>16</v>
      </c>
      <c r="X6" s="4" t="s">
        <v>16</v>
      </c>
      <c r="Y6" s="4" t="s">
        <v>16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4" t="s">
        <v>16</v>
      </c>
      <c r="AG6" s="5" t="s">
        <v>17</v>
      </c>
      <c r="AH6" s="4" t="s">
        <v>16</v>
      </c>
      <c r="AI6" s="7"/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7"/>
      <c r="AJ7" s="7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COUNTIF(F3:AG3,"WFH")</f>
        <v>8</v>
      </c>
    </row>
    <row r="13" spans="1:36" x14ac:dyDescent="0.25">
      <c r="A13" s="2" t="s">
        <v>19</v>
      </c>
      <c r="B13" s="2">
        <f>COUNTIF(F4:AI4,"WFO")</f>
        <v>14</v>
      </c>
      <c r="C13" s="2">
        <f>COUNTIF(F4:AG4,"WFH")</f>
        <v>4</v>
      </c>
    </row>
    <row r="14" spans="1:36" x14ac:dyDescent="0.25">
      <c r="A14" s="2" t="s">
        <v>20</v>
      </c>
      <c r="B14" s="2">
        <f>COUNTIF(F5:AI5,"WFO")</f>
        <v>9</v>
      </c>
      <c r="C14" s="2">
        <f>COUNTIF(F5:AG5,"WFH")</f>
        <v>4</v>
      </c>
    </row>
    <row r="15" spans="1:36" x14ac:dyDescent="0.25">
      <c r="A15" s="2" t="s">
        <v>23</v>
      </c>
      <c r="B15" s="2">
        <f>COUNTIF(F6:AI6,"WFO")</f>
        <v>13</v>
      </c>
      <c r="C15" s="2">
        <f>COUNTIF(F6:AG6,"WFH")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E78C-1B04-4E2F-8C73-18B0A1ECFFAE}">
  <dimension ref="A1:AI15"/>
  <sheetViews>
    <sheetView tabSelected="1" workbookViewId="0">
      <selection activeCell="AB3" sqref="AB3:AB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46174</v>
      </c>
      <c r="G1" s="1">
        <v>46175</v>
      </c>
      <c r="H1" s="1">
        <v>46176</v>
      </c>
      <c r="I1" s="1">
        <v>46177</v>
      </c>
      <c r="J1" s="1">
        <v>46178</v>
      </c>
      <c r="K1" s="1">
        <v>46179</v>
      </c>
      <c r="L1" s="1">
        <v>46180</v>
      </c>
      <c r="M1" s="1">
        <v>46181</v>
      </c>
      <c r="N1" s="1">
        <v>46182</v>
      </c>
      <c r="O1" s="1">
        <v>46183</v>
      </c>
      <c r="P1" s="1">
        <v>46184</v>
      </c>
      <c r="Q1" s="1">
        <v>46185</v>
      </c>
      <c r="R1" s="1">
        <v>46186</v>
      </c>
      <c r="S1" s="1">
        <v>46187</v>
      </c>
      <c r="T1" s="1">
        <v>46188</v>
      </c>
      <c r="U1" s="1">
        <v>46189</v>
      </c>
      <c r="V1" s="1">
        <v>46190</v>
      </c>
      <c r="W1" s="1">
        <v>46191</v>
      </c>
      <c r="X1" s="1">
        <v>46192</v>
      </c>
      <c r="Y1" s="1">
        <v>46193</v>
      </c>
      <c r="Z1" s="1">
        <v>46194</v>
      </c>
      <c r="AA1" s="1">
        <v>46195</v>
      </c>
      <c r="AB1" s="1">
        <v>46196</v>
      </c>
      <c r="AC1" s="1">
        <v>46197</v>
      </c>
      <c r="AD1" s="1">
        <v>46198</v>
      </c>
      <c r="AE1" s="1">
        <v>46199</v>
      </c>
      <c r="AF1" s="1">
        <v>46200</v>
      </c>
      <c r="AG1" s="1">
        <v>46201</v>
      </c>
      <c r="AH1" s="1">
        <v>46202</v>
      </c>
      <c r="AI1" s="1">
        <v>46203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29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4" t="s">
        <v>16</v>
      </c>
      <c r="J3" s="5" t="s">
        <v>17</v>
      </c>
      <c r="K3" s="7"/>
      <c r="L3" s="7"/>
      <c r="M3" s="4" t="s">
        <v>16</v>
      </c>
      <c r="N3" s="4" t="s">
        <v>16</v>
      </c>
      <c r="O3" s="6" t="s">
        <v>18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4" t="s">
        <v>16</v>
      </c>
      <c r="AB3" s="4" t="s">
        <v>16</v>
      </c>
      <c r="AC3" s="2"/>
      <c r="AD3" s="2"/>
      <c r="AE3" s="2"/>
      <c r="AF3" s="7"/>
      <c r="AG3" s="7"/>
      <c r="AH3" s="2"/>
      <c r="AI3" s="2"/>
    </row>
    <row r="4" spans="1:35" x14ac:dyDescent="0.25">
      <c r="A4" s="2" t="s">
        <v>12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5" t="s">
        <v>17</v>
      </c>
      <c r="J4" s="5" t="s">
        <v>17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5" t="s">
        <v>17</v>
      </c>
      <c r="R4" s="7"/>
      <c r="S4" s="7"/>
      <c r="T4" s="4" t="s">
        <v>16</v>
      </c>
      <c r="U4" s="4" t="s">
        <v>16</v>
      </c>
      <c r="V4" s="4" t="s">
        <v>16</v>
      </c>
      <c r="W4" s="5" t="s">
        <v>17</v>
      </c>
      <c r="X4" s="5" t="s">
        <v>17</v>
      </c>
      <c r="Y4" s="7"/>
      <c r="Z4" s="7"/>
      <c r="AA4" s="4" t="s">
        <v>16</v>
      </c>
      <c r="AB4" s="4" t="s">
        <v>16</v>
      </c>
      <c r="AC4" s="2"/>
      <c r="AD4" s="2"/>
      <c r="AE4" s="2"/>
      <c r="AF4" s="7"/>
      <c r="AG4" s="7"/>
      <c r="AH4" s="2"/>
      <c r="AI4" s="2"/>
    </row>
    <row r="5" spans="1:35" x14ac:dyDescent="0.25">
      <c r="A5" s="2" t="s">
        <v>19</v>
      </c>
      <c r="B5" s="2">
        <v>33548</v>
      </c>
      <c r="C5" s="2" t="s">
        <v>13</v>
      </c>
      <c r="D5" s="2" t="s">
        <v>14</v>
      </c>
      <c r="E5" s="3" t="s">
        <v>15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4" t="s">
        <v>16</v>
      </c>
      <c r="AB5" s="4" t="s">
        <v>16</v>
      </c>
      <c r="AC5" s="2"/>
      <c r="AD5" s="2"/>
      <c r="AE5" s="2"/>
      <c r="AF5" s="7"/>
      <c r="AG5" s="7"/>
      <c r="AH5" s="2"/>
      <c r="AI5" s="2"/>
    </row>
    <row r="6" spans="1:35" x14ac:dyDescent="0.25">
      <c r="A6" s="2" t="s">
        <v>20</v>
      </c>
      <c r="B6" s="2">
        <v>44429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5" t="s">
        <v>17</v>
      </c>
      <c r="I6" s="4" t="s">
        <v>16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4" t="s">
        <v>16</v>
      </c>
      <c r="AB6" s="4" t="s">
        <v>16</v>
      </c>
      <c r="AC6" s="2"/>
      <c r="AD6" s="2"/>
      <c r="AE6" s="2"/>
      <c r="AF6" s="7"/>
      <c r="AG6" s="7"/>
      <c r="AH6" s="2"/>
      <c r="AI6" s="2"/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5" t="s">
        <v>17</v>
      </c>
      <c r="G7" s="4" t="s">
        <v>16</v>
      </c>
      <c r="H7" s="5" t="s">
        <v>17</v>
      </c>
      <c r="I7" s="6" t="s">
        <v>24</v>
      </c>
      <c r="J7" s="4" t="s">
        <v>16</v>
      </c>
      <c r="K7" s="7"/>
      <c r="L7" s="7"/>
      <c r="M7" s="4" t="s">
        <v>16</v>
      </c>
      <c r="N7" s="4" t="s">
        <v>16</v>
      </c>
      <c r="O7" s="4" t="s">
        <v>16</v>
      </c>
      <c r="P7" s="5" t="s">
        <v>17</v>
      </c>
      <c r="Q7" s="5" t="s">
        <v>17</v>
      </c>
      <c r="R7" s="7"/>
      <c r="S7" s="7"/>
      <c r="T7" s="6" t="s">
        <v>24</v>
      </c>
      <c r="U7" s="6" t="s">
        <v>24</v>
      </c>
      <c r="V7" s="5" t="s">
        <v>17</v>
      </c>
      <c r="W7" s="4" t="s">
        <v>16</v>
      </c>
      <c r="X7" s="4" t="s">
        <v>16</v>
      </c>
      <c r="Y7" s="7"/>
      <c r="Z7" s="7"/>
      <c r="AA7" s="4" t="s">
        <v>16</v>
      </c>
      <c r="AB7" s="4" t="s">
        <v>16</v>
      </c>
      <c r="AC7" s="2"/>
      <c r="AD7" s="2"/>
      <c r="AE7" s="2"/>
      <c r="AF7" s="7"/>
      <c r="AG7" s="7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COUNTIF(F4:AI4,"WFO")</f>
        <v>10</v>
      </c>
      <c r="C12" s="2">
        <f>COUNTIF(F4:AG4,"WFH")</f>
        <v>7</v>
      </c>
    </row>
    <row r="13" spans="1:35" x14ac:dyDescent="0.25">
      <c r="A13" s="2" t="s">
        <v>19</v>
      </c>
      <c r="B13" s="2">
        <f>COUNTIF(F5:AI5,"WFO")</f>
        <v>11</v>
      </c>
      <c r="C13" s="2">
        <f>COUNTIF(F5:AG5,"WFH")</f>
        <v>6</v>
      </c>
    </row>
    <row r="14" spans="1:35" x14ac:dyDescent="0.25">
      <c r="A14" s="2" t="s">
        <v>20</v>
      </c>
      <c r="B14" s="2">
        <f>COUNTIF(F6:AI6,"WFO")</f>
        <v>10</v>
      </c>
      <c r="C14" s="2">
        <f>COUNTIF(F6:AG6,"WFH")</f>
        <v>7</v>
      </c>
    </row>
    <row r="15" spans="1:35" x14ac:dyDescent="0.25">
      <c r="A15" s="2" t="s">
        <v>23</v>
      </c>
      <c r="B15" s="2">
        <f>COUNTIF(F7:AI7,"WFO")</f>
        <v>9</v>
      </c>
      <c r="C15" s="2">
        <f>COUNTIF(F7:AG7,"WFH")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  <vt:lpstr>UV-WMS Admin June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2026-06-23T10:04:12Z</dcterms:modified>
  <cp:category/>
  <cp:contentStatus/>
</cp:coreProperties>
</file>