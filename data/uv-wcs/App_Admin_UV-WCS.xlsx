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uv-wcs\"/>
    </mc:Choice>
  </mc:AlternateContent>
  <xr:revisionPtr revIDLastSave="0" documentId="13_ncr:1_{2A21CADC-36D6-433B-9034-B6E7507BA5D0}" xr6:coauthVersionLast="47" xr6:coauthVersionMax="47" xr10:uidLastSave="{00000000-0000-0000-0000-000000000000}"/>
  <bookViews>
    <workbookView xWindow="-120" yWindow="-120" windowWidth="29040" windowHeight="15720" firstSheet="8" activeTab="11" xr2:uid="{BB3BFA0C-538F-411B-ABFF-D727D65D2D40}"/>
  </bookViews>
  <sheets>
    <sheet name="UV-WMS Admin Jan" sheetId="9" r:id="rId1"/>
    <sheet name="UV-WMS Admin Feb" sheetId="1" r:id="rId2"/>
    <sheet name="UV-WMS Admin March" sheetId="2" r:id="rId3"/>
    <sheet name="UV-WMS Admin April" sheetId="3" r:id="rId4"/>
    <sheet name="UV-WMS Admin May" sheetId="4" r:id="rId5"/>
    <sheet name="UV-WMS Admin June" sheetId="5" r:id="rId6"/>
    <sheet name="UV-WMS Admin July" sheetId="6" r:id="rId7"/>
    <sheet name="UV-WMS Admin August" sheetId="7" r:id="rId8"/>
    <sheet name="UV-WMS Admin September" sheetId="8" r:id="rId9"/>
    <sheet name="UV-WMS Admin October" sheetId="10" r:id="rId10"/>
    <sheet name="UV-WMS Admin November" sheetId="11" r:id="rId11"/>
    <sheet name="UV-WMS Admin December" sheetId="12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12" l="1"/>
  <c r="B17" i="12"/>
  <c r="C16" i="12"/>
  <c r="B16" i="12"/>
  <c r="C15" i="12"/>
  <c r="B15" i="12"/>
  <c r="C14" i="12"/>
  <c r="B14" i="12"/>
  <c r="C13" i="12"/>
  <c r="B13" i="12"/>
  <c r="C17" i="11"/>
  <c r="B17" i="11"/>
  <c r="C16" i="11"/>
  <c r="B16" i="11"/>
  <c r="C15" i="11"/>
  <c r="B15" i="11"/>
  <c r="C14" i="11"/>
  <c r="B14" i="11"/>
  <c r="C13" i="11"/>
  <c r="B13" i="11"/>
  <c r="C13" i="10"/>
  <c r="C17" i="10"/>
  <c r="B17" i="10"/>
  <c r="C16" i="10"/>
  <c r="B16" i="10"/>
  <c r="C15" i="10"/>
  <c r="B15" i="10"/>
  <c r="C14" i="10"/>
  <c r="B14" i="10"/>
  <c r="B13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7" i="8"/>
  <c r="B17" i="8"/>
  <c r="C16" i="8"/>
  <c r="B16" i="8"/>
  <c r="C15" i="8"/>
  <c r="B15" i="8"/>
  <c r="C14" i="8"/>
  <c r="B14" i="8"/>
  <c r="C13" i="8"/>
  <c r="B13" i="8"/>
  <c r="C17" i="7"/>
  <c r="B17" i="7"/>
  <c r="C16" i="7"/>
  <c r="B16" i="7"/>
  <c r="C15" i="7"/>
  <c r="B15" i="7"/>
  <c r="C14" i="7"/>
  <c r="B14" i="7"/>
  <c r="C13" i="7"/>
  <c r="B13" i="7"/>
  <c r="C14" i="6"/>
  <c r="C15" i="6"/>
  <c r="C16" i="6"/>
  <c r="C17" i="6"/>
  <c r="C13" i="6"/>
  <c r="B14" i="6"/>
  <c r="B15" i="6"/>
  <c r="B16" i="6"/>
  <c r="B17" i="6"/>
  <c r="B13" i="6"/>
  <c r="B12" i="2"/>
  <c r="B13" i="2"/>
  <c r="B14" i="2"/>
  <c r="B15" i="2"/>
  <c r="B13" i="3"/>
  <c r="B14" i="3"/>
  <c r="B15" i="3"/>
  <c r="B16" i="3"/>
  <c r="B14" i="5"/>
  <c r="B15" i="5"/>
  <c r="B16" i="5"/>
  <c r="B17" i="5"/>
  <c r="B14" i="4"/>
  <c r="B15" i="4"/>
  <c r="B16" i="4"/>
  <c r="C13" i="4"/>
  <c r="C14" i="4"/>
  <c r="C15" i="4"/>
  <c r="C16" i="4"/>
  <c r="B13" i="4"/>
  <c r="C12" i="4"/>
  <c r="B12" i="4"/>
  <c r="B13" i="5"/>
  <c r="C12" i="1"/>
  <c r="B11" i="1"/>
  <c r="B12" i="1"/>
  <c r="B13" i="1"/>
  <c r="B14" i="1"/>
  <c r="B15" i="1"/>
  <c r="C11" i="1"/>
  <c r="C12" i="2"/>
  <c r="C13" i="2"/>
  <c r="C14" i="2"/>
  <c r="C15" i="2"/>
  <c r="B11" i="2"/>
  <c r="C11" i="2"/>
  <c r="B12" i="3"/>
  <c r="C13" i="3"/>
  <c r="C14" i="3"/>
  <c r="C15" i="3"/>
  <c r="C16" i="3"/>
  <c r="C12" i="3"/>
  <c r="C14" i="5"/>
  <c r="C15" i="5"/>
  <c r="C16" i="5"/>
  <c r="C17" i="5"/>
  <c r="C13" i="5"/>
</calcChain>
</file>

<file path=xl/sharedStrings.xml><?xml version="1.0" encoding="utf-8"?>
<sst xmlns="http://schemas.openxmlformats.org/spreadsheetml/2006/main" count="1998" uniqueCount="28">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</sst>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2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topLeftCell="P1"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workbookViewId="0">
      <selection activeCell="C15" sqref="C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7"/>
      <c r="AB6" s="7"/>
      <c r="AC6" s="6" t="s">
        <v>24</v>
      </c>
      <c r="AD6" s="6" t="s">
        <v>24</v>
      </c>
      <c r="AE6" s="6" t="s">
        <v>24</v>
      </c>
      <c r="AF6" s="6" t="s">
        <v>24</v>
      </c>
      <c r="AG6" s="6" t="s">
        <v>24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5"/>
  <sheetViews>
    <sheetView workbookViewId="0">
      <pane xSplit="2" topLeftCell="E1" activePane="topRight" state="frozen"/>
      <selection pane="topRight" activeCell="AC6" sqref="AC6:AG6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2"/>
      <c r="AB6" s="2"/>
      <c r="AC6" s="6" t="s">
        <v>24</v>
      </c>
      <c r="AD6" s="6" t="s">
        <v>24</v>
      </c>
      <c r="AE6" s="6" t="s">
        <v>24</v>
      </c>
      <c r="AF6" s="6" t="s">
        <v>24</v>
      </c>
      <c r="AG6" s="6" t="s">
        <v>24</v>
      </c>
      <c r="AH6" s="2"/>
      <c r="AI6" s="2"/>
      <c r="AJ6" s="13"/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6" t="s">
        <v>24</v>
      </c>
      <c r="M7" s="7"/>
      <c r="N7" s="7"/>
      <c r="O7" s="6" t="s">
        <v>24</v>
      </c>
      <c r="P7" s="6" t="s">
        <v>24</v>
      </c>
      <c r="Q7" s="6" t="s">
        <v>24</v>
      </c>
      <c r="R7" s="6" t="s">
        <v>24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6" t="s">
        <v>18</v>
      </c>
      <c r="Z7" s="5" t="s">
        <v>17</v>
      </c>
      <c r="AA7" s="2"/>
      <c r="AB7" s="2"/>
      <c r="AC7" s="4" t="s">
        <v>16</v>
      </c>
      <c r="AD7" s="4" t="s">
        <v>16</v>
      </c>
      <c r="AE7" s="4" t="s">
        <v>16</v>
      </c>
      <c r="AF7" s="4" t="s">
        <v>16</v>
      </c>
      <c r="AG7" s="5" t="s">
        <v>17</v>
      </c>
      <c r="AH7" s="2"/>
      <c r="AI7" s="2"/>
      <c r="AJ7" s="13"/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14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COUNTIF(F3:AI3,"WFH")</f>
        <v>8</v>
      </c>
    </row>
    <row r="12" spans="1:36" x14ac:dyDescent="0.25">
      <c r="A12" s="2" t="s">
        <v>19</v>
      </c>
      <c r="B12" s="2">
        <f t="shared" ref="B12:B15" si="0">COUNTIF(F4:AI4,"WFO")</f>
        <v>12</v>
      </c>
      <c r="C12" s="2">
        <f t="shared" ref="C12:C15" si="1">COUNTIF(F4:AI4,"WFH")</f>
        <v>8</v>
      </c>
    </row>
    <row r="13" spans="1:36" x14ac:dyDescent="0.25">
      <c r="A13" s="2" t="s">
        <v>20</v>
      </c>
      <c r="B13" s="2">
        <f t="shared" si="0"/>
        <v>13</v>
      </c>
      <c r="C13" s="2">
        <f t="shared" si="1"/>
        <v>7</v>
      </c>
    </row>
    <row r="14" spans="1:36" x14ac:dyDescent="0.25">
      <c r="A14" s="2" t="s">
        <v>22</v>
      </c>
      <c r="B14" s="2">
        <f t="shared" si="0"/>
        <v>0</v>
      </c>
      <c r="C14" s="2">
        <f t="shared" si="1"/>
        <v>0</v>
      </c>
    </row>
    <row r="15" spans="1:36" x14ac:dyDescent="0.25">
      <c r="A15" s="2" t="s">
        <v>23</v>
      </c>
      <c r="B15" s="2">
        <f t="shared" si="0"/>
        <v>11</v>
      </c>
      <c r="C15" s="2">
        <f t="shared" si="1"/>
        <v>3</v>
      </c>
    </row>
  </sheetData>
  <mergeCells count="6">
    <mergeCell ref="AJ3:AJ8"/>
    <mergeCell ref="B1:B2"/>
    <mergeCell ref="A1:A2"/>
    <mergeCell ref="C1:C2"/>
    <mergeCell ref="D1:D2"/>
    <mergeCell ref="E1:E2"/>
  </mergeCells>
  <conditionalFormatting sqref="B11:B15">
    <cfRule type="cellIs" dxfId="27" priority="1" operator="lessThan">
      <formula>12</formula>
    </cfRule>
    <cfRule type="cellIs" dxfId="26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6"/>
  <sheetViews>
    <sheetView workbookViewId="0">
      <pane xSplit="1" topLeftCell="W1" activePane="topRight" state="frozen"/>
      <selection pane="topRight" activeCell="AI6" sqref="AI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6" t="s">
        <v>24</v>
      </c>
      <c r="J6" s="7"/>
      <c r="K6" s="7"/>
      <c r="L6" s="6" t="s">
        <v>24</v>
      </c>
      <c r="M6" s="6" t="s">
        <v>24</v>
      </c>
      <c r="N6" s="6" t="s">
        <v>24</v>
      </c>
      <c r="O6" s="6" t="s">
        <v>24</v>
      </c>
      <c r="P6" s="6" t="s">
        <v>24</v>
      </c>
      <c r="Q6" s="7"/>
      <c r="R6" s="7"/>
      <c r="S6" s="6" t="s">
        <v>24</v>
      </c>
      <c r="T6" s="6" t="s">
        <v>24</v>
      </c>
      <c r="U6" s="6" t="s">
        <v>24</v>
      </c>
      <c r="V6" s="6" t="s">
        <v>24</v>
      </c>
      <c r="W6" s="6" t="s">
        <v>24</v>
      </c>
      <c r="X6" s="7"/>
      <c r="Y6" s="7"/>
      <c r="Z6" s="6" t="s">
        <v>24</v>
      </c>
      <c r="AA6" s="6" t="s">
        <v>24</v>
      </c>
      <c r="AB6" s="6" t="s">
        <v>24</v>
      </c>
      <c r="AC6" s="6" t="s">
        <v>24</v>
      </c>
      <c r="AD6" s="6" t="s">
        <v>24</v>
      </c>
      <c r="AE6" s="7"/>
      <c r="AF6" s="7"/>
      <c r="AG6" s="6" t="s">
        <v>24</v>
      </c>
      <c r="AH6" s="6" t="s">
        <v>24</v>
      </c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4" t="s">
        <v>16</v>
      </c>
      <c r="H7" s="6" t="s">
        <v>24</v>
      </c>
      <c r="I7" s="6" t="s">
        <v>24</v>
      </c>
      <c r="J7" s="7"/>
      <c r="K7" s="7"/>
      <c r="L7" s="4" t="s">
        <v>16</v>
      </c>
      <c r="M7" s="4" t="s">
        <v>16</v>
      </c>
      <c r="N7" s="4" t="s">
        <v>16</v>
      </c>
      <c r="O7" s="4" t="s">
        <v>16</v>
      </c>
      <c r="P7" s="5" t="s">
        <v>17</v>
      </c>
      <c r="Q7" s="7"/>
      <c r="R7" s="7"/>
      <c r="S7" s="4" t="s">
        <v>16</v>
      </c>
      <c r="T7" s="4" t="s">
        <v>16</v>
      </c>
      <c r="U7" s="4" t="s">
        <v>16</v>
      </c>
      <c r="V7" s="5" t="s">
        <v>17</v>
      </c>
      <c r="W7" s="5" t="s">
        <v>17</v>
      </c>
      <c r="X7" s="7"/>
      <c r="Y7" s="7"/>
      <c r="Z7" s="6" t="s">
        <v>18</v>
      </c>
      <c r="AA7" s="4" t="s">
        <v>16</v>
      </c>
      <c r="AB7" s="4" t="s">
        <v>16</v>
      </c>
      <c r="AC7" s="4" t="s">
        <v>16</v>
      </c>
      <c r="AD7" s="5" t="s">
        <v>17</v>
      </c>
      <c r="AE7" s="7"/>
      <c r="AF7" s="7"/>
      <c r="AG7" s="4" t="s">
        <v>16</v>
      </c>
      <c r="AH7" s="4" t="s">
        <v>16</v>
      </c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14</v>
      </c>
      <c r="C12" s="2">
        <f>COUNTIF(F3:AI3,"WFH")</f>
        <v>7</v>
      </c>
    </row>
    <row r="13" spans="1:35" x14ac:dyDescent="0.25">
      <c r="A13" s="2" t="s">
        <v>19</v>
      </c>
      <c r="B13" s="2">
        <f t="shared" ref="B13:B16" si="0">COUNTIF(F4:AI4,"WFO")</f>
        <v>12</v>
      </c>
      <c r="C13" s="2">
        <f t="shared" ref="C13:C16" si="1">COUNTIF(F4:AI4,"WFH")</f>
        <v>6</v>
      </c>
    </row>
    <row r="14" spans="1:35" x14ac:dyDescent="0.25">
      <c r="A14" s="2" t="s">
        <v>20</v>
      </c>
      <c r="B14" s="2">
        <f t="shared" si="0"/>
        <v>15</v>
      </c>
      <c r="C14" s="2">
        <f t="shared" si="1"/>
        <v>7</v>
      </c>
    </row>
    <row r="15" spans="1:35" x14ac:dyDescent="0.25">
      <c r="A15" s="2" t="s">
        <v>22</v>
      </c>
      <c r="B15" s="2">
        <f t="shared" si="0"/>
        <v>0</v>
      </c>
      <c r="C15" s="2">
        <f t="shared" si="1"/>
        <v>0</v>
      </c>
    </row>
    <row r="16" spans="1:35" x14ac:dyDescent="0.25">
      <c r="A16" s="2" t="s">
        <v>23</v>
      </c>
      <c r="B16" s="2">
        <f t="shared" si="0"/>
        <v>15</v>
      </c>
      <c r="C16" s="2">
        <f t="shared" si="1"/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2:B16">
    <cfRule type="cellIs" dxfId="25" priority="1" operator="lessThan">
      <formula>12</formula>
    </cfRule>
    <cfRule type="cellIs" dxfId="24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6"/>
  <sheetViews>
    <sheetView zoomScaleNormal="100" workbookViewId="0">
      <pane xSplit="1" topLeftCell="B1" activePane="topRight" state="frozen"/>
      <selection pane="topRight"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6" t="s">
        <v>24</v>
      </c>
      <c r="H6" s="7"/>
      <c r="I6" s="7"/>
      <c r="J6" s="6" t="s">
        <v>24</v>
      </c>
      <c r="K6" s="6" t="s">
        <v>24</v>
      </c>
      <c r="L6" s="6" t="s">
        <v>24</v>
      </c>
      <c r="M6" s="6" t="s">
        <v>24</v>
      </c>
      <c r="N6" s="6" t="s">
        <v>24</v>
      </c>
      <c r="O6" s="7"/>
      <c r="P6" s="7"/>
      <c r="Q6" s="6" t="s">
        <v>24</v>
      </c>
      <c r="R6" s="6" t="s">
        <v>24</v>
      </c>
      <c r="S6" s="6" t="s">
        <v>24</v>
      </c>
      <c r="T6" s="6" t="s">
        <v>24</v>
      </c>
      <c r="U6" s="6" t="s">
        <v>24</v>
      </c>
      <c r="V6" s="7"/>
      <c r="W6" s="7"/>
      <c r="X6" s="6" t="s">
        <v>24</v>
      </c>
      <c r="Y6" s="6" t="s">
        <v>24</v>
      </c>
      <c r="Z6" s="6" t="s">
        <v>24</v>
      </c>
      <c r="AA6" s="6" t="s">
        <v>24</v>
      </c>
      <c r="AB6" s="6" t="s">
        <v>24</v>
      </c>
      <c r="AC6" s="7"/>
      <c r="AD6" s="7"/>
      <c r="AE6" s="6" t="s">
        <v>24</v>
      </c>
      <c r="AF6" s="6" t="s">
        <v>24</v>
      </c>
      <c r="AG6" s="6" t="s">
        <v>24</v>
      </c>
      <c r="AH6" s="6" t="s">
        <v>24</v>
      </c>
      <c r="AI6" s="6" t="s">
        <v>24</v>
      </c>
      <c r="AJ6" s="7"/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4" t="s">
        <v>16</v>
      </c>
      <c r="H7" s="7"/>
      <c r="I7" s="7"/>
      <c r="J7" s="4" t="s">
        <v>16</v>
      </c>
      <c r="K7" s="4" t="s">
        <v>16</v>
      </c>
      <c r="L7" s="6" t="s">
        <v>18</v>
      </c>
      <c r="M7" s="4" t="s">
        <v>16</v>
      </c>
      <c r="N7" s="5" t="s">
        <v>17</v>
      </c>
      <c r="O7" s="7"/>
      <c r="P7" s="7"/>
      <c r="Q7" s="4" t="s">
        <v>16</v>
      </c>
      <c r="R7" s="4" t="s">
        <v>16</v>
      </c>
      <c r="S7" s="4" t="s">
        <v>16</v>
      </c>
      <c r="T7" s="4" t="s">
        <v>16</v>
      </c>
      <c r="U7" s="5" t="s">
        <v>17</v>
      </c>
      <c r="V7" s="7"/>
      <c r="W7" s="7"/>
      <c r="X7" s="4" t="s">
        <v>16</v>
      </c>
      <c r="Y7" s="5" t="s">
        <v>17</v>
      </c>
      <c r="Z7" s="4" t="s">
        <v>16</v>
      </c>
      <c r="AA7" s="4" t="s">
        <v>16</v>
      </c>
      <c r="AB7" s="6" t="s">
        <v>24</v>
      </c>
      <c r="AC7" s="7"/>
      <c r="AD7" s="7"/>
      <c r="AE7" s="5" t="s">
        <v>17</v>
      </c>
      <c r="AF7" s="4" t="s">
        <v>16</v>
      </c>
      <c r="AG7" s="5" t="s">
        <v>17</v>
      </c>
      <c r="AH7" s="6" t="s">
        <v>24</v>
      </c>
      <c r="AI7" s="6" t="s">
        <v>24</v>
      </c>
      <c r="AJ7" s="7"/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1" spans="1:36" x14ac:dyDescent="0.25">
      <c r="A11" s="8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COUNTIF(G3:AJ3,"WFO")</f>
        <v>10</v>
      </c>
      <c r="C12" s="2">
        <f>COUNTIF(G3:AJ3,"WFH")</f>
        <v>9</v>
      </c>
    </row>
    <row r="13" spans="1:36" x14ac:dyDescent="0.25">
      <c r="A13" s="2" t="s">
        <v>19</v>
      </c>
      <c r="B13" s="2">
        <f t="shared" ref="B13:B16" si="0">COUNTIF(G4:AJ4,"WFO")</f>
        <v>12</v>
      </c>
      <c r="C13" s="2">
        <f t="shared" ref="C13:C16" si="1">COUNTIF(G4:AJ4,"WFH")</f>
        <v>8</v>
      </c>
    </row>
    <row r="14" spans="1:36" x14ac:dyDescent="0.25">
      <c r="A14" s="2" t="s">
        <v>20</v>
      </c>
      <c r="B14" s="2">
        <f t="shared" si="0"/>
        <v>9</v>
      </c>
      <c r="C14" s="2">
        <f t="shared" si="1"/>
        <v>6</v>
      </c>
    </row>
    <row r="15" spans="1:36" x14ac:dyDescent="0.25">
      <c r="A15" s="2" t="s">
        <v>22</v>
      </c>
      <c r="B15" s="2">
        <f t="shared" si="0"/>
        <v>0</v>
      </c>
      <c r="C15" s="2">
        <f t="shared" si="1"/>
        <v>0</v>
      </c>
    </row>
    <row r="16" spans="1:36" x14ac:dyDescent="0.25">
      <c r="A16" s="2" t="s">
        <v>23</v>
      </c>
      <c r="B16" s="2">
        <f t="shared" si="0"/>
        <v>12</v>
      </c>
      <c r="C16" s="2">
        <f t="shared" si="1"/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6">
    <cfRule type="cellIs" dxfId="23" priority="2" operator="greaterThan">
      <formula>12</formula>
    </cfRule>
    <cfRule type="cellIs" dxfId="22" priority="4" operator="lessThan">
      <formula>12</formula>
    </cfRule>
  </conditionalFormatting>
  <conditionalFormatting sqref="B13:B16">
    <cfRule type="cellIs" dxfId="21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7"/>
  <sheetViews>
    <sheetView workbookViewId="0">
      <pane xSplit="1" topLeftCell="T1" activePane="topRight" state="frozen"/>
      <selection pane="topRight" activeCell="AI6" sqref="AI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6" t="s">
        <v>24</v>
      </c>
      <c r="H6" s="6" t="s">
        <v>24</v>
      </c>
      <c r="I6" s="6" t="s">
        <v>24</v>
      </c>
      <c r="J6" s="6" t="s">
        <v>24</v>
      </c>
      <c r="K6" s="6" t="s">
        <v>24</v>
      </c>
      <c r="L6" s="7"/>
      <c r="M6" s="7"/>
      <c r="N6" s="6" t="s">
        <v>24</v>
      </c>
      <c r="O6" s="6" t="s">
        <v>24</v>
      </c>
      <c r="P6" s="6" t="s">
        <v>24</v>
      </c>
      <c r="Q6" s="6" t="s">
        <v>24</v>
      </c>
      <c r="R6" s="6" t="s">
        <v>24</v>
      </c>
      <c r="S6" s="7"/>
      <c r="T6" s="7"/>
      <c r="U6" s="6" t="s">
        <v>24</v>
      </c>
      <c r="V6" s="6" t="s">
        <v>24</v>
      </c>
      <c r="W6" s="6" t="s">
        <v>24</v>
      </c>
      <c r="X6" s="6" t="s">
        <v>24</v>
      </c>
      <c r="Y6" s="6" t="s">
        <v>24</v>
      </c>
      <c r="Z6" s="7"/>
      <c r="AA6" s="7"/>
      <c r="AB6" s="6" t="s">
        <v>24</v>
      </c>
      <c r="AC6" s="6" t="s">
        <v>24</v>
      </c>
      <c r="AD6" s="6" t="s">
        <v>24</v>
      </c>
      <c r="AE6" s="6" t="s">
        <v>24</v>
      </c>
      <c r="AF6" s="6" t="s">
        <v>24</v>
      </c>
      <c r="AG6" s="7"/>
      <c r="AH6" s="7"/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4" t="s">
        <v>16</v>
      </c>
      <c r="H7" s="4" t="s">
        <v>16</v>
      </c>
      <c r="I7" s="4" t="s">
        <v>16</v>
      </c>
      <c r="J7" s="5" t="s">
        <v>17</v>
      </c>
      <c r="K7" s="5" t="s">
        <v>17</v>
      </c>
      <c r="L7" s="7"/>
      <c r="M7" s="7"/>
      <c r="N7" s="4" t="s">
        <v>16</v>
      </c>
      <c r="O7" s="4" t="s">
        <v>16</v>
      </c>
      <c r="P7" s="4" t="s">
        <v>16</v>
      </c>
      <c r="Q7" s="5" t="s">
        <v>17</v>
      </c>
      <c r="R7" s="5" t="s">
        <v>17</v>
      </c>
      <c r="S7" s="7"/>
      <c r="T7" s="7"/>
      <c r="U7" s="4" t="s">
        <v>16</v>
      </c>
      <c r="V7" s="4" t="s">
        <v>16</v>
      </c>
      <c r="W7" s="4" t="s">
        <v>16</v>
      </c>
      <c r="X7" s="5" t="s">
        <v>17</v>
      </c>
      <c r="Y7" s="5" t="s">
        <v>17</v>
      </c>
      <c r="Z7" s="7"/>
      <c r="AA7" s="7"/>
      <c r="AB7" s="4" t="s">
        <v>16</v>
      </c>
      <c r="AC7" s="4" t="s">
        <v>16</v>
      </c>
      <c r="AD7" s="4" t="s">
        <v>16</v>
      </c>
      <c r="AE7" s="5" t="s">
        <v>17</v>
      </c>
      <c r="AF7" s="4" t="s">
        <v>16</v>
      </c>
      <c r="AG7" s="7"/>
      <c r="AH7" s="7"/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8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COUNTIF(G3:AJ3,"WFO")</f>
        <v>11</v>
      </c>
      <c r="C13" s="2">
        <f>COUNTIF(G3:AJ3,"WFH")</f>
        <v>8</v>
      </c>
    </row>
    <row r="14" spans="1:35" x14ac:dyDescent="0.25">
      <c r="A14" s="2" t="s">
        <v>19</v>
      </c>
      <c r="B14" s="2">
        <f t="shared" ref="B14:B17" si="0">COUNTIF(G4:AJ4,"WFO")</f>
        <v>14</v>
      </c>
      <c r="C14" s="2">
        <f t="shared" ref="C14:C17" si="1">COUNTIF(G4:AJ4,"WFH")</f>
        <v>7</v>
      </c>
    </row>
    <row r="15" spans="1:35" x14ac:dyDescent="0.25">
      <c r="A15" s="2" t="s">
        <v>20</v>
      </c>
      <c r="B15" s="2">
        <f t="shared" si="0"/>
        <v>13</v>
      </c>
      <c r="C15" s="2">
        <f t="shared" si="1"/>
        <v>8</v>
      </c>
    </row>
    <row r="16" spans="1:35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14</v>
      </c>
      <c r="C17" s="2">
        <f t="shared" si="1"/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7"/>
  <sheetViews>
    <sheetView topLeftCell="I1" workbookViewId="0">
      <selection activeCell="S3" sqref="S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6" t="s">
        <v>24</v>
      </c>
      <c r="J6" s="7"/>
      <c r="K6" s="7"/>
      <c r="L6" s="6" t="s">
        <v>24</v>
      </c>
      <c r="M6" s="6" t="s">
        <v>24</v>
      </c>
      <c r="N6" s="6" t="s">
        <v>24</v>
      </c>
      <c r="O6" s="6" t="s">
        <v>24</v>
      </c>
      <c r="P6" s="6" t="s">
        <v>24</v>
      </c>
      <c r="Q6" s="7"/>
      <c r="R6" s="7"/>
      <c r="S6" s="6" t="s">
        <v>24</v>
      </c>
      <c r="T6" s="6" t="s">
        <v>24</v>
      </c>
      <c r="U6" s="6" t="s">
        <v>24</v>
      </c>
      <c r="V6" s="6" t="s">
        <v>24</v>
      </c>
      <c r="W6" s="6" t="s">
        <v>24</v>
      </c>
      <c r="X6" s="7"/>
      <c r="Y6" s="7"/>
      <c r="Z6" s="6" t="s">
        <v>24</v>
      </c>
      <c r="AA6" s="6" t="s">
        <v>24</v>
      </c>
      <c r="AB6" s="6" t="s">
        <v>24</v>
      </c>
      <c r="AC6" s="6" t="s">
        <v>24</v>
      </c>
      <c r="AD6" s="6" t="s">
        <v>24</v>
      </c>
      <c r="AE6" s="7"/>
      <c r="AF6" s="7"/>
      <c r="AG6" s="6" t="s">
        <v>24</v>
      </c>
      <c r="AH6" s="6" t="s">
        <v>24</v>
      </c>
      <c r="AI6" s="6" t="s">
        <v>24</v>
      </c>
      <c r="AJ6" s="6" t="s">
        <v>24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5" t="s">
        <v>17</v>
      </c>
      <c r="H7" s="4" t="s">
        <v>16</v>
      </c>
      <c r="I7" s="5" t="s">
        <v>17</v>
      </c>
      <c r="J7" s="7"/>
      <c r="K7" s="7"/>
      <c r="L7" s="5" t="s">
        <v>17</v>
      </c>
      <c r="M7" s="4" t="s">
        <v>16</v>
      </c>
      <c r="N7" s="4" t="s">
        <v>16</v>
      </c>
      <c r="O7" s="6" t="s">
        <v>24</v>
      </c>
      <c r="P7" s="6" t="s">
        <v>24</v>
      </c>
      <c r="Q7" s="7"/>
      <c r="R7" s="7"/>
      <c r="S7" s="6" t="s">
        <v>18</v>
      </c>
      <c r="T7" s="4" t="s">
        <v>16</v>
      </c>
      <c r="U7" s="4" t="s">
        <v>16</v>
      </c>
      <c r="V7" s="4" t="s">
        <v>16</v>
      </c>
      <c r="W7" s="5" t="s">
        <v>17</v>
      </c>
      <c r="X7" s="7"/>
      <c r="Y7" s="7"/>
      <c r="Z7" s="4" t="s">
        <v>16</v>
      </c>
      <c r="AA7" s="4" t="s">
        <v>16</v>
      </c>
      <c r="AB7" s="4" t="s">
        <v>16</v>
      </c>
      <c r="AC7" s="5" t="s">
        <v>17</v>
      </c>
      <c r="AD7" s="5" t="s">
        <v>17</v>
      </c>
      <c r="AE7" s="7"/>
      <c r="AF7" s="7"/>
      <c r="AG7" s="4" t="s">
        <v>16</v>
      </c>
      <c r="AH7" s="4" t="s">
        <v>16</v>
      </c>
      <c r="AI7" s="4" t="s">
        <v>16</v>
      </c>
      <c r="AJ7" s="5" t="s">
        <v>17</v>
      </c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COUNTIF(F3:AJ3,"WFO")</f>
        <v>13</v>
      </c>
      <c r="C13" s="2">
        <f>COUNTIF(F3:AJ3,"WFH")</f>
        <v>10</v>
      </c>
    </row>
    <row r="14" spans="1:36" x14ac:dyDescent="0.25">
      <c r="A14" s="2" t="s">
        <v>19</v>
      </c>
      <c r="B14" s="2">
        <f t="shared" ref="B14:B17" si="0">COUNTIF(F4:AJ4,"WFO")</f>
        <v>12</v>
      </c>
      <c r="C14" s="2">
        <f t="shared" ref="C14:C17" si="1">COUNTIF(F4:AJ4,"WFH")</f>
        <v>10</v>
      </c>
    </row>
    <row r="15" spans="1:36" x14ac:dyDescent="0.25">
      <c r="A15" s="2" t="s">
        <v>20</v>
      </c>
      <c r="B15" s="2">
        <f t="shared" si="0"/>
        <v>11</v>
      </c>
      <c r="C15" s="2">
        <f t="shared" si="1"/>
        <v>9</v>
      </c>
    </row>
    <row r="16" spans="1:36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13</v>
      </c>
      <c r="C17" s="2">
        <f t="shared" si="1"/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7"/>
  <sheetViews>
    <sheetView workbookViewId="0">
      <selection activeCell="T4" sqref="T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7"/>
      <c r="H6" s="7"/>
      <c r="I6" s="6" t="s">
        <v>24</v>
      </c>
      <c r="J6" s="6" t="s">
        <v>24</v>
      </c>
      <c r="K6" s="6" t="s">
        <v>24</v>
      </c>
      <c r="L6" s="6" t="s">
        <v>24</v>
      </c>
      <c r="M6" s="6" t="s">
        <v>24</v>
      </c>
      <c r="N6" s="7"/>
      <c r="O6" s="7"/>
      <c r="P6" s="6" t="s">
        <v>24</v>
      </c>
      <c r="Q6" s="6" t="s">
        <v>24</v>
      </c>
      <c r="R6" s="6" t="s">
        <v>24</v>
      </c>
      <c r="S6" s="6" t="s">
        <v>24</v>
      </c>
      <c r="T6" s="6" t="s">
        <v>25</v>
      </c>
      <c r="U6" s="7"/>
      <c r="V6" s="7"/>
      <c r="W6" s="6" t="s">
        <v>24</v>
      </c>
      <c r="X6" s="6" t="s">
        <v>24</v>
      </c>
      <c r="Y6" s="6" t="s">
        <v>24</v>
      </c>
      <c r="Z6" s="6" t="s">
        <v>24</v>
      </c>
      <c r="AA6" s="6" t="s">
        <v>24</v>
      </c>
      <c r="AB6" s="7"/>
      <c r="AC6" s="7"/>
      <c r="AD6" s="6" t="s">
        <v>24</v>
      </c>
      <c r="AE6" s="6" t="s">
        <v>24</v>
      </c>
      <c r="AF6" s="6" t="s">
        <v>25</v>
      </c>
      <c r="AG6" s="6" t="s">
        <v>24</v>
      </c>
      <c r="AH6" s="6" t="s">
        <v>24</v>
      </c>
      <c r="AI6" s="7"/>
      <c r="AJ6" s="7"/>
    </row>
    <row r="7" spans="1:37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5" t="s">
        <v>17</v>
      </c>
      <c r="G7" s="7"/>
      <c r="H7" s="7"/>
      <c r="I7" s="4" t="s">
        <v>16</v>
      </c>
      <c r="J7" s="4" t="s">
        <v>16</v>
      </c>
      <c r="K7" s="4" t="s">
        <v>16</v>
      </c>
      <c r="L7" s="4" t="s">
        <v>16</v>
      </c>
      <c r="M7" s="5" t="s">
        <v>17</v>
      </c>
      <c r="N7" s="7"/>
      <c r="O7" s="7"/>
      <c r="P7" s="4" t="s">
        <v>16</v>
      </c>
      <c r="Q7" s="4" t="s">
        <v>16</v>
      </c>
      <c r="R7" s="4" t="s">
        <v>16</v>
      </c>
      <c r="S7" s="5" t="s">
        <v>17</v>
      </c>
      <c r="T7" s="6" t="s">
        <v>25</v>
      </c>
      <c r="U7" s="7"/>
      <c r="V7" s="7"/>
      <c r="W7" s="4" t="s">
        <v>16</v>
      </c>
      <c r="X7" s="4" t="s">
        <v>16</v>
      </c>
      <c r="Y7" s="6" t="s">
        <v>18</v>
      </c>
      <c r="Z7" s="5" t="s">
        <v>17</v>
      </c>
      <c r="AA7" s="5" t="s">
        <v>17</v>
      </c>
      <c r="AB7" s="7"/>
      <c r="AC7" s="7"/>
      <c r="AD7" s="4" t="s">
        <v>16</v>
      </c>
      <c r="AE7" s="4" t="s">
        <v>16</v>
      </c>
      <c r="AF7" s="6" t="s">
        <v>25</v>
      </c>
      <c r="AG7" s="4" t="s">
        <v>16</v>
      </c>
      <c r="AH7" s="5" t="s">
        <v>17</v>
      </c>
      <c r="AI7" s="7"/>
      <c r="AJ7" s="7"/>
    </row>
    <row r="8" spans="1:37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</row>
    <row r="12" spans="1:37" x14ac:dyDescent="0.25">
      <c r="A12" s="9" t="s">
        <v>1</v>
      </c>
      <c r="B12" s="2" t="s">
        <v>27</v>
      </c>
      <c r="C12" s="2" t="s">
        <v>26</v>
      </c>
    </row>
    <row r="13" spans="1:37" x14ac:dyDescent="0.25">
      <c r="A13" s="2" t="s">
        <v>12</v>
      </c>
      <c r="B13" s="2">
        <f>COUNTIF(F3:AJ3,"WFO")</f>
        <v>10</v>
      </c>
      <c r="C13" s="2">
        <f>COUNTIF(F3:AJ3,"WFH")</f>
        <v>8</v>
      </c>
    </row>
    <row r="14" spans="1:37" x14ac:dyDescent="0.25">
      <c r="A14" s="2" t="s">
        <v>19</v>
      </c>
      <c r="B14" s="2">
        <f t="shared" ref="B14:B17" si="0">COUNTIF(F4:AJ4,"WFO")</f>
        <v>12</v>
      </c>
      <c r="C14" s="2">
        <f t="shared" ref="C14:C17" si="1">COUNTIF(F4:AJ4,"WFH")</f>
        <v>4</v>
      </c>
    </row>
    <row r="15" spans="1:37" x14ac:dyDescent="0.25">
      <c r="A15" s="2" t="s">
        <v>20</v>
      </c>
      <c r="B15" s="2">
        <f t="shared" si="0"/>
        <v>10</v>
      </c>
      <c r="C15" s="2">
        <f t="shared" si="1"/>
        <v>9</v>
      </c>
    </row>
    <row r="16" spans="1:37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12</v>
      </c>
      <c r="C17" s="2">
        <f t="shared" si="1"/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7"/>
  <sheetViews>
    <sheetView topLeftCell="H1" workbookViewId="0">
      <selection activeCell="AB14" sqref="AB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5" t="s">
        <v>17</v>
      </c>
      <c r="J6" s="5" t="s">
        <v>17</v>
      </c>
      <c r="K6" s="7"/>
      <c r="L6" s="7"/>
      <c r="M6" s="6" t="s">
        <v>24</v>
      </c>
      <c r="N6" s="6" t="s">
        <v>24</v>
      </c>
      <c r="O6" s="6" t="s">
        <v>24</v>
      </c>
      <c r="P6" s="6" t="s">
        <v>24</v>
      </c>
      <c r="Q6" s="6" t="s">
        <v>24</v>
      </c>
      <c r="R6" s="7"/>
      <c r="S6" s="7"/>
      <c r="T6" s="6" t="s">
        <v>24</v>
      </c>
      <c r="U6" s="6" t="s">
        <v>24</v>
      </c>
      <c r="V6" s="6" t="s">
        <v>24</v>
      </c>
      <c r="W6" s="6" t="s">
        <v>24</v>
      </c>
      <c r="X6" s="6" t="s">
        <v>24</v>
      </c>
      <c r="Y6" s="7"/>
      <c r="Z6" s="7"/>
      <c r="AA6" s="6" t="s">
        <v>24</v>
      </c>
      <c r="AB6" s="6" t="s">
        <v>24</v>
      </c>
      <c r="AC6" s="6" t="s">
        <v>24</v>
      </c>
      <c r="AD6" s="6" t="s">
        <v>24</v>
      </c>
      <c r="AE6" s="6" t="s">
        <v>24</v>
      </c>
      <c r="AF6" s="7"/>
      <c r="AG6" s="7"/>
      <c r="AH6" s="6" t="s">
        <v>24</v>
      </c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4" t="s">
        <v>16</v>
      </c>
      <c r="H7" s="4" t="s">
        <v>16</v>
      </c>
      <c r="I7" s="5" t="s">
        <v>17</v>
      </c>
      <c r="J7" s="5" t="s">
        <v>17</v>
      </c>
      <c r="K7" s="7"/>
      <c r="L7" s="7"/>
      <c r="M7" s="4" t="s">
        <v>16</v>
      </c>
      <c r="N7" s="4" t="s">
        <v>16</v>
      </c>
      <c r="O7" s="4" t="s">
        <v>16</v>
      </c>
      <c r="P7" s="5" t="s">
        <v>17</v>
      </c>
      <c r="Q7" s="5" t="s">
        <v>17</v>
      </c>
      <c r="R7" s="7"/>
      <c r="S7" s="7"/>
      <c r="T7" s="6" t="s">
        <v>18</v>
      </c>
      <c r="U7" s="4" t="s">
        <v>16</v>
      </c>
      <c r="V7" s="5" t="s">
        <v>17</v>
      </c>
      <c r="W7" s="4" t="s">
        <v>16</v>
      </c>
      <c r="X7" s="5" t="s">
        <v>17</v>
      </c>
      <c r="Y7" s="7"/>
      <c r="Z7" s="7"/>
      <c r="AA7" s="4" t="s">
        <v>16</v>
      </c>
      <c r="AB7" s="4" t="s">
        <v>16</v>
      </c>
      <c r="AC7" s="4" t="s">
        <v>16</v>
      </c>
      <c r="AD7" s="5" t="s">
        <v>17</v>
      </c>
      <c r="AE7" s="5" t="s">
        <v>17</v>
      </c>
      <c r="AF7" s="7"/>
      <c r="AG7" s="7"/>
      <c r="AH7" s="4" t="s">
        <v>16</v>
      </c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COUNTIF(F3:AI3,"WFO")</f>
        <v>12</v>
      </c>
      <c r="C13" s="2">
        <f>COUNTIF(F3:AI3,"WFH")</f>
        <v>8</v>
      </c>
    </row>
    <row r="14" spans="1:35" x14ac:dyDescent="0.25">
      <c r="A14" s="2" t="s">
        <v>19</v>
      </c>
      <c r="B14" s="2">
        <f>COUNTIF(F4:AI4,"WFO")</f>
        <v>12</v>
      </c>
      <c r="C14" s="2">
        <f>COUNTIF(F4:AI4,"WFH")</f>
        <v>7</v>
      </c>
    </row>
    <row r="15" spans="1:35" x14ac:dyDescent="0.25">
      <c r="A15" s="2" t="s">
        <v>20</v>
      </c>
      <c r="B15" s="2">
        <f>COUNTIF(F5:AI5,"WFO")</f>
        <v>12</v>
      </c>
      <c r="C15" s="2">
        <f>COUNTIF(F5:AI5,"WFH")</f>
        <v>9</v>
      </c>
    </row>
    <row r="16" spans="1:35" x14ac:dyDescent="0.25">
      <c r="A16" s="2" t="s">
        <v>22</v>
      </c>
      <c r="B16" s="2">
        <f>COUNTIF(F6:AI6,"WFO")</f>
        <v>0</v>
      </c>
      <c r="C16" s="2">
        <f>COUNTIF(F6:AI6,"WFH")</f>
        <v>2</v>
      </c>
    </row>
    <row r="17" spans="1:3" x14ac:dyDescent="0.25">
      <c r="A17" s="2" t="s">
        <v>23</v>
      </c>
      <c r="B17" s="2">
        <f>COUNTIF(F7:AI7,"WFO")</f>
        <v>13</v>
      </c>
      <c r="C17" s="2">
        <f>COUNTIF(F7:AI7,"WFH")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7"/>
  <sheetViews>
    <sheetView topLeftCell="L1" workbookViewId="0">
      <selection activeCell="AA23" sqref="AA2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25</v>
      </c>
      <c r="H6" s="6" t="s">
        <v>24</v>
      </c>
      <c r="I6" s="7"/>
      <c r="J6" s="7"/>
      <c r="K6" s="6" t="s">
        <v>24</v>
      </c>
      <c r="L6" s="6" t="s">
        <v>24</v>
      </c>
      <c r="M6" s="6" t="s">
        <v>24</v>
      </c>
      <c r="N6" s="6" t="s">
        <v>24</v>
      </c>
      <c r="O6" s="6" t="s">
        <v>24</v>
      </c>
      <c r="P6" s="7"/>
      <c r="Q6" s="7"/>
      <c r="R6" s="6" t="s">
        <v>24</v>
      </c>
      <c r="S6" s="6" t="s">
        <v>24</v>
      </c>
      <c r="T6" s="6" t="s">
        <v>24</v>
      </c>
      <c r="U6" s="6" t="s">
        <v>24</v>
      </c>
      <c r="V6" s="6" t="s">
        <v>24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6" t="s">
        <v>24</v>
      </c>
      <c r="AG6" s="6" t="s">
        <v>24</v>
      </c>
      <c r="AH6" s="6" t="s">
        <v>24</v>
      </c>
      <c r="AI6" s="6" t="s">
        <v>24</v>
      </c>
      <c r="AJ6" s="6" t="s">
        <v>24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6" t="s">
        <v>25</v>
      </c>
      <c r="H7" s="4" t="s">
        <v>16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5" t="s">
        <v>17</v>
      </c>
      <c r="S7" s="5" t="s">
        <v>17</v>
      </c>
      <c r="T7" s="5" t="s">
        <v>17</v>
      </c>
      <c r="U7" s="5" t="s">
        <v>17</v>
      </c>
      <c r="V7" s="5" t="s">
        <v>17</v>
      </c>
      <c r="W7" s="7"/>
      <c r="X7" s="7"/>
      <c r="Y7" s="6" t="s">
        <v>25</v>
      </c>
      <c r="Z7" s="6" t="s">
        <v>24</v>
      </c>
      <c r="AA7" s="6" t="s">
        <v>24</v>
      </c>
      <c r="AB7" s="6" t="s">
        <v>24</v>
      </c>
      <c r="AC7" s="6" t="s">
        <v>24</v>
      </c>
      <c r="AD7" s="7"/>
      <c r="AE7" s="7"/>
      <c r="AF7" s="5" t="s">
        <v>17</v>
      </c>
      <c r="AG7" s="5" t="s">
        <v>17</v>
      </c>
      <c r="AH7" s="5" t="s">
        <v>17</v>
      </c>
      <c r="AI7" s="5" t="s">
        <v>17</v>
      </c>
      <c r="AJ7" s="5" t="s">
        <v>17</v>
      </c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COUNTIF(F3:AI3,"WFO")</f>
        <v>8</v>
      </c>
      <c r="C13" s="2">
        <f>COUNTIF(F3:AI3,"WFH")</f>
        <v>11</v>
      </c>
    </row>
    <row r="14" spans="1:36" x14ac:dyDescent="0.25">
      <c r="A14" s="2" t="s">
        <v>19</v>
      </c>
      <c r="B14" s="2">
        <f>COUNTIF(F4:AI4,"WFO")</f>
        <v>14</v>
      </c>
      <c r="C14" s="2">
        <f>COUNTIF(F4:AI4,"WFH")</f>
        <v>5</v>
      </c>
    </row>
    <row r="15" spans="1:36" x14ac:dyDescent="0.25">
      <c r="A15" s="2" t="s">
        <v>20</v>
      </c>
      <c r="B15" s="2">
        <f>COUNTIF(F5:AI5,"WFO")</f>
        <v>8</v>
      </c>
      <c r="C15" s="2">
        <f>COUNTIF(F5:AI5,"WFH")</f>
        <v>11</v>
      </c>
    </row>
    <row r="16" spans="1:36" x14ac:dyDescent="0.25">
      <c r="A16" s="2" t="s">
        <v>22</v>
      </c>
      <c r="B16" s="2">
        <f>COUNTIF(F6:AI6,"WFO")</f>
        <v>0</v>
      </c>
      <c r="C16" s="2">
        <f>COUNTIF(F6:AI6,"WFH")</f>
        <v>0</v>
      </c>
    </row>
    <row r="17" spans="1:3" x14ac:dyDescent="0.25">
      <c r="A17" s="2" t="s">
        <v>23</v>
      </c>
      <c r="B17" s="2">
        <f>COUNTIF(F7:AI7,"WFO")</f>
        <v>5</v>
      </c>
      <c r="C17" s="2">
        <f>COUNTIF(F7:AI7,"WFH")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7"/>
  <sheetViews>
    <sheetView topLeftCell="K1" workbookViewId="0">
      <selection activeCell="S5" sqref="S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7"/>
      <c r="AB6" s="7"/>
      <c r="AC6" s="6" t="s">
        <v>24</v>
      </c>
      <c r="AD6" s="6" t="s">
        <v>24</v>
      </c>
      <c r="AE6" s="6" t="s">
        <v>24</v>
      </c>
      <c r="AF6" s="6" t="s">
        <v>24</v>
      </c>
      <c r="AG6" s="6" t="s">
        <v>24</v>
      </c>
      <c r="AH6" s="7"/>
      <c r="AI6" s="7"/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6" t="s">
        <v>18</v>
      </c>
      <c r="I7" s="4" t="s">
        <v>16</v>
      </c>
      <c r="J7" s="4" t="s">
        <v>16</v>
      </c>
      <c r="K7" s="5" t="s">
        <v>17</v>
      </c>
      <c r="L7" s="4" t="s">
        <v>16</v>
      </c>
      <c r="M7" s="7"/>
      <c r="N7" s="7"/>
      <c r="O7" s="4" t="s">
        <v>16</v>
      </c>
      <c r="P7" s="4" t="s">
        <v>16</v>
      </c>
      <c r="Q7" s="4" t="s">
        <v>16</v>
      </c>
      <c r="R7" s="5" t="s">
        <v>17</v>
      </c>
      <c r="S7" s="5" t="s">
        <v>17</v>
      </c>
      <c r="T7" s="7"/>
      <c r="U7" s="7"/>
      <c r="V7" s="4" t="s">
        <v>16</v>
      </c>
      <c r="W7" s="4" t="s">
        <v>16</v>
      </c>
      <c r="X7" s="4" t="s">
        <v>16</v>
      </c>
      <c r="Y7" s="4" t="s">
        <v>16</v>
      </c>
      <c r="Z7" s="4" t="s">
        <v>16</v>
      </c>
      <c r="AA7" s="7"/>
      <c r="AB7" s="7"/>
      <c r="AC7" s="4" t="s">
        <v>16</v>
      </c>
      <c r="AD7" s="5" t="s">
        <v>17</v>
      </c>
      <c r="AE7" s="5" t="s">
        <v>17</v>
      </c>
      <c r="AF7" s="4" t="s">
        <v>16</v>
      </c>
      <c r="AG7" s="5" t="s">
        <v>17</v>
      </c>
      <c r="AH7" s="7"/>
      <c r="AI7" s="7"/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COUNTIF(F3:AI3,"WFO")</f>
        <v>8</v>
      </c>
      <c r="C13" s="2">
        <f>COUNTIF(F3:AI3,"WFH")</f>
        <v>6</v>
      </c>
    </row>
    <row r="14" spans="1:35" x14ac:dyDescent="0.25">
      <c r="A14" s="2" t="s">
        <v>19</v>
      </c>
      <c r="B14" s="2">
        <f>COUNTIF(F4:AI4,"WFO")</f>
        <v>13</v>
      </c>
      <c r="C14" s="2">
        <f>COUNTIF(F4:AI4,"WFH")</f>
        <v>6</v>
      </c>
    </row>
    <row r="15" spans="1:35" x14ac:dyDescent="0.25">
      <c r="A15" s="2" t="s">
        <v>20</v>
      </c>
      <c r="B15" s="2">
        <f>COUNTIF(F5:AI5,"WFO")</f>
        <v>12</v>
      </c>
      <c r="C15" s="2">
        <f>COUNTIF(F5:AI5,"WFH")</f>
        <v>7</v>
      </c>
    </row>
    <row r="16" spans="1:35" x14ac:dyDescent="0.25">
      <c r="A16" s="2" t="s">
        <v>22</v>
      </c>
      <c r="B16" s="2">
        <f>COUNTIF(F6:AI6,"WFO")</f>
        <v>0</v>
      </c>
      <c r="C16" s="2">
        <f>COUNTIF(F6:AI6,"WFH")</f>
        <v>0</v>
      </c>
    </row>
    <row r="17" spans="1:3" x14ac:dyDescent="0.25">
      <c r="A17" s="2" t="s">
        <v>23</v>
      </c>
      <c r="B17" s="2">
        <f>COUNTIF(F7:AI7,"WFO")</f>
        <v>13</v>
      </c>
      <c r="C17" s="2">
        <f>COUNTIF(F7:AI7,"WFH")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7"/>
  <sheetViews>
    <sheetView tabSelected="1" topLeftCell="D1" workbookViewId="0">
      <selection activeCell="N11" sqref="N11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2"/>
      <c r="O3" s="2"/>
      <c r="P3" s="2"/>
      <c r="Q3" s="2"/>
      <c r="R3" s="7"/>
      <c r="S3" s="7"/>
      <c r="T3" s="2"/>
      <c r="U3" s="2"/>
      <c r="V3" s="2"/>
      <c r="W3" s="2"/>
      <c r="X3" s="2"/>
      <c r="Y3" s="7"/>
      <c r="Z3" s="7"/>
      <c r="AA3" s="2"/>
      <c r="AB3" s="2"/>
      <c r="AC3" s="2"/>
      <c r="AD3" s="2"/>
      <c r="AE3" s="2"/>
      <c r="AF3" s="7"/>
      <c r="AG3" s="7"/>
      <c r="AH3" s="2"/>
      <c r="AI3" s="2"/>
      <c r="AJ3" s="2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2"/>
      <c r="O4" s="2"/>
      <c r="P4" s="2"/>
      <c r="Q4" s="2"/>
      <c r="R4" s="7"/>
      <c r="S4" s="7"/>
      <c r="T4" s="2"/>
      <c r="U4" s="2"/>
      <c r="V4" s="2"/>
      <c r="W4" s="2"/>
      <c r="X4" s="2"/>
      <c r="Y4" s="7"/>
      <c r="Z4" s="7"/>
      <c r="AA4" s="6" t="s">
        <v>24</v>
      </c>
      <c r="AB4" s="6" t="s">
        <v>24</v>
      </c>
      <c r="AC4" s="6" t="s">
        <v>24</v>
      </c>
      <c r="AD4" s="6" t="s">
        <v>24</v>
      </c>
      <c r="AE4" s="6" t="s">
        <v>24</v>
      </c>
      <c r="AF4" s="7"/>
      <c r="AG4" s="7"/>
      <c r="AH4" s="2"/>
      <c r="AI4" s="2"/>
      <c r="AJ4" s="2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2"/>
      <c r="O5" s="2"/>
      <c r="P5" s="2"/>
      <c r="Q5" s="2"/>
      <c r="R5" s="7"/>
      <c r="S5" s="7"/>
      <c r="T5" s="2"/>
      <c r="U5" s="2"/>
      <c r="V5" s="2"/>
      <c r="W5" s="2"/>
      <c r="X5" s="2"/>
      <c r="Y5" s="7"/>
      <c r="Z5" s="7"/>
      <c r="AA5" s="2"/>
      <c r="AB5" s="2"/>
      <c r="AC5" s="2"/>
      <c r="AD5" s="2"/>
      <c r="AE5" s="2"/>
      <c r="AF5" s="7"/>
      <c r="AG5" s="7"/>
      <c r="AH5" s="2"/>
      <c r="AI5" s="2"/>
      <c r="AJ5" s="2"/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6" t="s">
        <v>24</v>
      </c>
      <c r="J6" s="6" t="s">
        <v>24</v>
      </c>
      <c r="K6" s="7"/>
      <c r="L6" s="7"/>
      <c r="M6" s="6" t="s">
        <v>24</v>
      </c>
      <c r="N6" s="6" t="s">
        <v>24</v>
      </c>
      <c r="O6" s="6" t="s">
        <v>24</v>
      </c>
      <c r="P6" s="6" t="s">
        <v>24</v>
      </c>
      <c r="Q6" s="6" t="s">
        <v>24</v>
      </c>
      <c r="R6" s="7"/>
      <c r="S6" s="7"/>
      <c r="T6" s="6" t="s">
        <v>24</v>
      </c>
      <c r="U6" s="6" t="s">
        <v>24</v>
      </c>
      <c r="V6" s="6" t="s">
        <v>24</v>
      </c>
      <c r="W6" s="6" t="s">
        <v>24</v>
      </c>
      <c r="X6" s="6" t="s">
        <v>24</v>
      </c>
      <c r="Y6" s="7"/>
      <c r="Z6" s="7"/>
      <c r="AA6" s="6" t="s">
        <v>24</v>
      </c>
      <c r="AB6" s="6" t="s">
        <v>24</v>
      </c>
      <c r="AC6" s="6" t="s">
        <v>24</v>
      </c>
      <c r="AD6" s="6" t="s">
        <v>24</v>
      </c>
      <c r="AE6" s="6" t="s">
        <v>24</v>
      </c>
      <c r="AF6" s="7"/>
      <c r="AG6" s="7"/>
      <c r="AH6" s="2"/>
      <c r="AI6" s="2"/>
      <c r="AJ6" s="2"/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4" t="s">
        <v>16</v>
      </c>
      <c r="H7" s="4" t="s">
        <v>16</v>
      </c>
      <c r="I7" s="4" t="s">
        <v>16</v>
      </c>
      <c r="J7" s="4" t="s">
        <v>16</v>
      </c>
      <c r="K7" s="7"/>
      <c r="L7" s="7"/>
      <c r="M7" s="4" t="s">
        <v>16</v>
      </c>
      <c r="N7" s="2"/>
      <c r="O7" s="2"/>
      <c r="P7" s="2"/>
      <c r="Q7" s="2"/>
      <c r="R7" s="7"/>
      <c r="S7" s="7"/>
      <c r="T7" s="2"/>
      <c r="U7" s="2"/>
      <c r="V7" s="2"/>
      <c r="W7" s="2"/>
      <c r="X7" s="2"/>
      <c r="Y7" s="7"/>
      <c r="Z7" s="7"/>
      <c r="AA7" s="2"/>
      <c r="AB7" s="2"/>
      <c r="AC7" s="2"/>
      <c r="AD7" s="2"/>
      <c r="AE7" s="2"/>
      <c r="AF7" s="7"/>
      <c r="AG7" s="7"/>
      <c r="AH7" s="2"/>
      <c r="AI7" s="2"/>
      <c r="AJ7" s="2"/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COUNTIF(F3:AI3,"WFO")</f>
        <v>1</v>
      </c>
      <c r="C13" s="2">
        <f>COUNTIF(F3:AI3,"WFH")</f>
        <v>0</v>
      </c>
    </row>
    <row r="14" spans="1:36" x14ac:dyDescent="0.25">
      <c r="A14" s="2" t="s">
        <v>19</v>
      </c>
      <c r="B14" s="2">
        <f>COUNTIF(F4:AI4,"WFO")</f>
        <v>5</v>
      </c>
      <c r="C14" s="2">
        <f>COUNTIF(F4:AI4,"WFH")</f>
        <v>1</v>
      </c>
    </row>
    <row r="15" spans="1:36" x14ac:dyDescent="0.25">
      <c r="A15" s="2" t="s">
        <v>20</v>
      </c>
      <c r="B15" s="2">
        <f>COUNTIF(F5:AI5,"WFO")</f>
        <v>4</v>
      </c>
      <c r="C15" s="2">
        <f>COUNTIF(F5:AI5,"WFH")</f>
        <v>2</v>
      </c>
    </row>
    <row r="16" spans="1:36" x14ac:dyDescent="0.25">
      <c r="A16" s="2" t="s">
        <v>22</v>
      </c>
      <c r="B16" s="2">
        <f>COUNTIF(F6:AI6,"WFO")</f>
        <v>0</v>
      </c>
      <c r="C16" s="2">
        <f>COUNTIF(F6:AI6,"WFH")</f>
        <v>0</v>
      </c>
    </row>
    <row r="17" spans="1:3" x14ac:dyDescent="0.25">
      <c r="A17" s="2" t="s">
        <v>23</v>
      </c>
      <c r="B17" s="2">
        <f>COUNTIF(F7:AI7,"WFO")</f>
        <v>6</v>
      </c>
      <c r="C17" s="2">
        <f>COUNTIF(F7:AI7,"WFH")</f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UV-WMS Admin Jan</vt:lpstr>
      <vt:lpstr>UV-WMS Admin Feb</vt:lpstr>
      <vt:lpstr>UV-WMS Admin March</vt:lpstr>
      <vt:lpstr>UV-WMS Admin April</vt:lpstr>
      <vt:lpstr>UV-WMS Admin May</vt:lpstr>
      <vt:lpstr>UV-WMS Admin June</vt:lpstr>
      <vt:lpstr>UV-WMS Admin July</vt:lpstr>
      <vt:lpstr>UV-WMS Admin August</vt:lpstr>
      <vt:lpstr>UV-WMS Admin September</vt:lpstr>
      <vt:lpstr>UV-WMS Admin October</vt:lpstr>
      <vt:lpstr>UV-WMS Admin November</vt:lpstr>
      <vt:lpstr>UV-WMS Admin December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2025-12-08T05:12:32Z</dcterms:modified>
  <cp:category/>
  <cp:contentStatus/>
</cp:coreProperties>
</file>