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A40480EE-84A0-4914-9676-256139B1B492}" xr6:coauthVersionLast="47" xr6:coauthVersionMax="47" xr10:uidLastSave="{00000000-0000-0000-0000-000000000000}"/>
  <bookViews>
    <workbookView xWindow="-120" yWindow="-120" windowWidth="29040" windowHeight="15720" firstSheet="9" activeTab="12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  <sheet name="UV-WMS Admin December" sheetId="12" r:id="rId12"/>
    <sheet name="UV-WMS Admin January" sheetId="13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3" l="1"/>
  <c r="B17" i="13"/>
  <c r="C16" i="13"/>
  <c r="B16" i="13"/>
  <c r="C15" i="13"/>
  <c r="B15" i="13"/>
  <c r="C14" i="13"/>
  <c r="B14" i="13"/>
  <c r="C13" i="13"/>
  <c r="B13" i="13"/>
  <c r="C17" i="12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<sst xmlns="http://schemas.openxmlformats.org/spreadsheetml/2006/main" count="2181" uniqueCount="29">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</sst>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30" priority="1" operator="lessThan">
      <formula>12</formula>
    </cfRule>
    <cfRule type="cellIs" dxfId="29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8" priority="1" operator="lessThan">
      <formula>12</formula>
    </cfRule>
    <cfRule type="cellIs" dxfId="27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6" priority="2" operator="greaterThan">
      <formula>12</formula>
    </cfRule>
    <cfRule type="cellIs" dxfId="25" priority="4" operator="lessThan">
      <formula>12</formula>
    </cfRule>
  </conditionalFormatting>
  <conditionalFormatting sqref="B13:B16">
    <cfRule type="cellIs" dxfId="24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S5" sqref="S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workbookViewId="0">
      <selection activeCell="J28" sqref="A1:XFD104857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2"/>
      <c r="W4" s="2"/>
      <c r="X4" s="2"/>
      <c r="Y4" s="7"/>
      <c r="Z4" s="7"/>
      <c r="AA4" s="6" t="s">
        <v>24</v>
      </c>
      <c r="AB4" s="6" t="s">
        <v>24</v>
      </c>
      <c r="AC4" s="6" t="s">
        <v>24</v>
      </c>
      <c r="AD4" s="6" t="s">
        <v>24</v>
      </c>
      <c r="AE4" s="6" t="s">
        <v>24</v>
      </c>
      <c r="AF4" s="7"/>
      <c r="AG4" s="7"/>
      <c r="AH4" s="2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7"/>
      <c r="L7" s="7"/>
      <c r="M7" s="4" t="s">
        <v>16</v>
      </c>
      <c r="N7" s="4" t="s">
        <v>16</v>
      </c>
      <c r="O7" s="6" t="s">
        <v>18</v>
      </c>
      <c r="P7" s="5" t="s">
        <v>17</v>
      </c>
      <c r="Q7" s="5" t="s">
        <v>17</v>
      </c>
      <c r="R7" s="7"/>
      <c r="S7" s="7"/>
      <c r="T7" s="4" t="s">
        <v>16</v>
      </c>
      <c r="U7" s="4" t="s">
        <v>16</v>
      </c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3</v>
      </c>
      <c r="C13" s="2">
        <f>COUNTIF(F3:AI3,"WFH")</f>
        <v>2</v>
      </c>
    </row>
    <row r="14" spans="1:36" x14ac:dyDescent="0.25">
      <c r="A14" s="2" t="s">
        <v>19</v>
      </c>
      <c r="B14" s="2">
        <f>COUNTIF(F4:AI4,"WFO")</f>
        <v>10</v>
      </c>
      <c r="C14" s="2">
        <f>COUNTIF(F4:AI4,"WFH")</f>
        <v>2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4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9</v>
      </c>
      <c r="C17" s="2">
        <f>COUNTIF(F7:AI7,"WFH")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7"/>
  <sheetViews>
    <sheetView tabSelected="1" workbookViewId="0">
      <selection activeCell="AA7" sqref="AA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4" t="s">
        <v>16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4" t="s">
        <v>16</v>
      </c>
      <c r="AA3" s="5" t="s">
        <v>17</v>
      </c>
      <c r="AB3" s="5" t="s">
        <v>17</v>
      </c>
      <c r="AC3" s="7"/>
      <c r="AD3" s="7"/>
      <c r="AE3" s="6" t="s">
        <v>28</v>
      </c>
      <c r="AF3" s="5" t="s">
        <v>17</v>
      </c>
      <c r="AG3" s="2"/>
      <c r="AH3" s="2"/>
      <c r="AI3" s="2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5" t="s">
        <v>17</v>
      </c>
      <c r="N4" s="5" t="s">
        <v>17</v>
      </c>
      <c r="O4" s="7"/>
      <c r="P4" s="7"/>
      <c r="Q4" s="4" t="s">
        <v>16</v>
      </c>
      <c r="R4" s="4" t="s">
        <v>16</v>
      </c>
      <c r="S4" s="4" t="s">
        <v>16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2"/>
      <c r="AH4" s="2"/>
      <c r="AI4" s="2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4" t="s">
        <v>16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2"/>
      <c r="AH5" s="2"/>
      <c r="AI5" s="2"/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28</v>
      </c>
      <c r="G6" s="6" t="s">
        <v>24</v>
      </c>
      <c r="H6" s="7"/>
      <c r="I6" s="7"/>
      <c r="J6" s="5" t="s">
        <v>17</v>
      </c>
      <c r="K6" s="5" t="s">
        <v>17</v>
      </c>
      <c r="L6" s="5" t="s">
        <v>17</v>
      </c>
      <c r="M6" s="5" t="s">
        <v>17</v>
      </c>
      <c r="N6" s="5" t="s">
        <v>17</v>
      </c>
      <c r="O6" s="7"/>
      <c r="P6" s="7"/>
      <c r="Q6" s="4" t="s">
        <v>16</v>
      </c>
      <c r="R6" s="5" t="s">
        <v>17</v>
      </c>
      <c r="S6" s="5" t="s">
        <v>17</v>
      </c>
      <c r="T6" s="5" t="s">
        <v>17</v>
      </c>
      <c r="U6" s="5" t="s">
        <v>17</v>
      </c>
      <c r="V6" s="7"/>
      <c r="W6" s="7"/>
      <c r="X6" s="5" t="s">
        <v>17</v>
      </c>
      <c r="Y6" s="5" t="s">
        <v>17</v>
      </c>
      <c r="Z6" s="5" t="s">
        <v>17</v>
      </c>
      <c r="AA6" s="5" t="s">
        <v>17</v>
      </c>
      <c r="AB6" s="5" t="s">
        <v>17</v>
      </c>
      <c r="AC6" s="7"/>
      <c r="AD6" s="7"/>
      <c r="AE6" s="6" t="s">
        <v>28</v>
      </c>
      <c r="AF6" s="5" t="s">
        <v>17</v>
      </c>
      <c r="AG6" s="2"/>
      <c r="AH6" s="2"/>
      <c r="AI6" s="2"/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28</v>
      </c>
      <c r="G7" s="4" t="s">
        <v>16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4" t="s">
        <v>16</v>
      </c>
      <c r="Z7" s="4" t="s">
        <v>16</v>
      </c>
      <c r="AA7" s="5" t="s">
        <v>17</v>
      </c>
      <c r="AB7" s="5" t="s">
        <v>17</v>
      </c>
      <c r="AC7" s="7"/>
      <c r="AD7" s="7"/>
      <c r="AE7" s="6" t="s">
        <v>28</v>
      </c>
      <c r="AF7" s="4" t="s">
        <v>16</v>
      </c>
      <c r="AG7" s="2"/>
      <c r="AH7" s="2"/>
      <c r="AI7" s="2"/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10</v>
      </c>
      <c r="C13" s="2">
        <f>COUNTIF(F3:AI3,"WFH")</f>
        <v>7</v>
      </c>
    </row>
    <row r="14" spans="1:36" x14ac:dyDescent="0.25">
      <c r="A14" s="2" t="s">
        <v>19</v>
      </c>
      <c r="B14" s="2">
        <f>COUNTIF(F4:AI4,"WFO")</f>
        <v>8</v>
      </c>
      <c r="C14" s="2">
        <f>COUNTIF(F4:AI4,"WFH")</f>
        <v>6</v>
      </c>
    </row>
    <row r="15" spans="1:36" x14ac:dyDescent="0.25">
      <c r="A15" s="2" t="s">
        <v>20</v>
      </c>
      <c r="B15" s="2">
        <f>COUNTIF(F5:AI5,"WFO")</f>
        <v>11</v>
      </c>
      <c r="C15" s="2">
        <f>COUNTIF(F5:AI5,"WFH")</f>
        <v>6</v>
      </c>
    </row>
    <row r="16" spans="1:36" x14ac:dyDescent="0.25">
      <c r="A16" s="2" t="s">
        <v>22</v>
      </c>
      <c r="B16" s="2">
        <f>COUNTIF(F6:AI6,"WFO")</f>
        <v>1</v>
      </c>
      <c r="C16" s="2">
        <f>COUNTIF(F6:AI6,"WFH")</f>
        <v>15</v>
      </c>
    </row>
    <row r="17" spans="1:3" x14ac:dyDescent="0.25">
      <c r="A17" s="2" t="s">
        <v>23</v>
      </c>
      <c r="B17" s="2">
        <f>COUNTIF(F7:AI7,"WFO")</f>
        <v>11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  <vt:lpstr>UV-WMS Admin December</vt:lpstr>
      <vt:lpstr>UV-WMS Admin January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2026-01-27T12:19:19Z</dcterms:modified>
  <cp:category/>
  <cp:contentStatus/>
</cp:coreProperties>
</file>